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" sheetId="1" state="visible" r:id="rId3"/>
    <sheet name="Scope" sheetId="2" state="visible" r:id="rId4"/>
    <sheet name="Plan" sheetId="3" state="visible" r:id="rId5"/>
    <sheet name="Board" sheetId="4" state="visible" r:id="rId6"/>
  </sheets>
  <definedNames>
    <definedName function="false" hidden="false" localSheetId="0" name="_xlnm.Print_Titles" vbProcedure="false">Requirements!$1:$1</definedName>
    <definedName function="false" hidden="true" localSheetId="0" name="_xlnm._FilterDatabase" vbProcedure="false">Requirements!$A$1:$H$50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<sst xmlns="http://schemas.openxmlformats.org/spreadsheetml/2006/main" count="434" uniqueCount="227">
  <si>
    <t xml:space="preserve">ID</t>
  </si>
  <si>
    <t xml:space="preserve">Section</t>
  </si>
  <si>
    <t xml:space="preserve">Requirement</t>
  </si>
  <si>
    <t xml:space="preserve">Description</t>
  </si>
  <si>
    <t xml:space="preserve">Priority</t>
  </si>
  <si>
    <t xml:space="preserve">Design brief page</t>
  </si>
  <si>
    <t xml:space="preserve">In prototype</t>
  </si>
  <si>
    <t xml:space="preserve">Status</t>
  </si>
  <si>
    <t xml:space="preserve">R01</t>
  </si>
  <si>
    <t xml:space="preserve">Home</t>
  </si>
  <si>
    <t xml:space="preserve">Club logo and name</t>
  </si>
  <si>
    <t xml:space="preserve">Prominently displayed</t>
  </si>
  <si>
    <t xml:space="preserve">Must have</t>
  </si>
  <si>
    <t xml:space="preserve">Home page</t>
  </si>
  <si>
    <t xml:space="preserve">R02</t>
  </si>
  <si>
    <t xml:space="preserve">Mission statement or slogan</t>
  </si>
  <si>
    <t xml:space="preserve">A brief tagline or mission statement</t>
  </si>
  <si>
    <t xml:space="preserve">R03</t>
  </si>
  <si>
    <t xml:space="preserve">Latest news</t>
  </si>
  <si>
    <t xml:space="preserve">Headlines of the most recent club news or match results</t>
  </si>
  <si>
    <t xml:space="preserve">R04</t>
  </si>
  <si>
    <t xml:space="preserve">Upcoming fixtures</t>
  </si>
  <si>
    <t xml:space="preserve">A short list of upcoming matches</t>
  </si>
  <si>
    <t xml:space="preserve">R05</t>
  </si>
  <si>
    <t xml:space="preserve">Featured player or match</t>
  </si>
  <si>
    <t xml:space="preserve">Highlight a player or a recent or next match</t>
  </si>
  <si>
    <t xml:space="preserve">R06</t>
  </si>
  <si>
    <t xml:space="preserve">Quick links</t>
  </si>
  <si>
    <t xml:space="preserve">Navigation to key sections</t>
  </si>
  <si>
    <t xml:space="preserve">Navigation</t>
  </si>
  <si>
    <t xml:space="preserve">R07</t>
  </si>
  <si>
    <t xml:space="preserve">About us</t>
  </si>
  <si>
    <t xml:space="preserve">Club history</t>
  </si>
  <si>
    <t xml:space="preserve">Background and history, founding date and key milestones</t>
  </si>
  <si>
    <t xml:space="preserve">R08</t>
  </si>
  <si>
    <t xml:space="preserve">Mission and values</t>
  </si>
  <si>
    <t xml:space="preserve">The core mission, vision and values of the club</t>
  </si>
  <si>
    <t xml:space="preserve">R09</t>
  </si>
  <si>
    <t xml:space="preserve">Club achievements</t>
  </si>
  <si>
    <t xml:space="preserve">Trophies, titles and significant achievements</t>
  </si>
  <si>
    <t xml:space="preserve">R10</t>
  </si>
  <si>
    <t xml:space="preserve">Management and staff</t>
  </si>
  <si>
    <t xml:space="preserve">Profiles of management, coaching staff and key personnel</t>
  </si>
  <si>
    <t xml:space="preserve">R11</t>
  </si>
  <si>
    <t xml:space="preserve">Stadium</t>
  </si>
  <si>
    <t xml:space="preserve">Home ground information, location and capacity</t>
  </si>
  <si>
    <t xml:space="preserve">R12</t>
  </si>
  <si>
    <t xml:space="preserve">Team</t>
  </si>
  <si>
    <t xml:space="preserve">First team squad</t>
  </si>
  <si>
    <t xml:space="preserve">Player profiles: name, position, number, photo, bio, stats</t>
  </si>
  <si>
    <t xml:space="preserve">Team fixtures and results</t>
  </si>
  <si>
    <t xml:space="preserve">R13</t>
  </si>
  <si>
    <t xml:space="preserve">Coaching staff</t>
  </si>
  <si>
    <t xml:space="preserve">Head coach, assistants and support staff</t>
  </si>
  <si>
    <t xml:space="preserve">R14</t>
  </si>
  <si>
    <t xml:space="preserve">Youth team</t>
  </si>
  <si>
    <t xml:space="preserve">Profiles or list of youth and academy players</t>
  </si>
  <si>
    <t xml:space="preserve">R15</t>
  </si>
  <si>
    <t xml:space="preserve">Legends and former players</t>
  </si>
  <si>
    <t xml:space="preserve">Former players who made significant contributions</t>
  </si>
  <si>
    <t xml:space="preserve">R16</t>
  </si>
  <si>
    <t xml:space="preserve">Fixtures and results</t>
  </si>
  <si>
    <t xml:space="preserve">Match schedule</t>
  </si>
  <si>
    <t xml:space="preserve">Upcoming fixtures with date, time and opponent</t>
  </si>
  <si>
    <t xml:space="preserve">R17</t>
  </si>
  <si>
    <t xml:space="preserve">Results</t>
  </si>
  <si>
    <t xml:space="preserve">Recent results with scores and short summaries</t>
  </si>
  <si>
    <t xml:space="preserve">R18</t>
  </si>
  <si>
    <t xml:space="preserve">League table</t>
  </si>
  <si>
    <t xml:space="preserve">Current standings in the league or competition</t>
  </si>
  <si>
    <t xml:space="preserve">R19</t>
  </si>
  <si>
    <t xml:space="preserve">Match reports</t>
  </si>
  <si>
    <t xml:space="preserve">Detailed reports of past matches</t>
  </si>
  <si>
    <t xml:space="preserve">R20</t>
  </si>
  <si>
    <t xml:space="preserve">News</t>
  </si>
  <si>
    <t xml:space="preserve">Club news</t>
  </si>
  <si>
    <t xml:space="preserve">Regular updates and articles about the club</t>
  </si>
  <si>
    <t xml:space="preserve">R21</t>
  </si>
  <si>
    <t xml:space="preserve">Press releases</t>
  </si>
  <si>
    <t xml:space="preserve">Official statements and announcements</t>
  </si>
  <si>
    <t xml:space="preserve">R22</t>
  </si>
  <si>
    <t xml:space="preserve">Interviews</t>
  </si>
  <si>
    <t xml:space="preserve">Interviews with players, coaches or management</t>
  </si>
  <si>
    <t xml:space="preserve">R23</t>
  </si>
  <si>
    <t xml:space="preserve">Photo gallery</t>
  </si>
  <si>
    <t xml:space="preserve">Images from matches, training and events</t>
  </si>
  <si>
    <t xml:space="preserve">R24</t>
  </si>
  <si>
    <t xml:space="preserve">Video highlights</t>
  </si>
  <si>
    <t xml:space="preserve">Match highlights and behind the scenes content</t>
  </si>
  <si>
    <t xml:space="preserve">R25</t>
  </si>
  <si>
    <t xml:space="preserve">Membership and tickets</t>
  </si>
  <si>
    <t xml:space="preserve">Ticket information</t>
  </si>
  <si>
    <t xml:space="preserve">How to buy tickets for upcoming matches, with pricing</t>
  </si>
  <si>
    <t xml:space="preserve">Membership</t>
  </si>
  <si>
    <t xml:space="preserve">R26</t>
  </si>
  <si>
    <t xml:space="preserve">Season tickets</t>
  </si>
  <si>
    <t xml:space="preserve">Season ticket information and benefits</t>
  </si>
  <si>
    <t xml:space="preserve">R27</t>
  </si>
  <si>
    <t xml:space="preserve">How to join as a member, with benefits</t>
  </si>
  <si>
    <t xml:space="preserve">R28</t>
  </si>
  <si>
    <t xml:space="preserve">Merchandise</t>
  </si>
  <si>
    <t xml:space="preserve">Links to the online store</t>
  </si>
  <si>
    <t xml:space="preserve">Shop</t>
  </si>
  <si>
    <t xml:space="preserve">R29</t>
  </si>
  <si>
    <t xml:space="preserve">Academy and youth</t>
  </si>
  <si>
    <t xml:space="preserve">Academy overview</t>
  </si>
  <si>
    <t xml:space="preserve">The youth academy and its objectives</t>
  </si>
  <si>
    <t xml:space="preserve">Later phase</t>
  </si>
  <si>
    <t xml:space="preserve">R30</t>
  </si>
  <si>
    <t xml:space="preserve">Youth teams</t>
  </si>
  <si>
    <t xml:space="preserve">The different youth teams and player profiles</t>
  </si>
  <si>
    <t xml:space="preserve">R31</t>
  </si>
  <si>
    <t xml:space="preserve">Training programmes</t>
  </si>
  <si>
    <t xml:space="preserve">Sessions, camps and how to join</t>
  </si>
  <si>
    <t xml:space="preserve">R32</t>
  </si>
  <si>
    <t xml:space="preserve">Success stories</t>
  </si>
  <si>
    <t xml:space="preserve">Academy graduates who reached the first team</t>
  </si>
  <si>
    <t xml:space="preserve">R33</t>
  </si>
  <si>
    <t xml:space="preserve">Community and outreach</t>
  </si>
  <si>
    <t xml:space="preserve">Community programmes</t>
  </si>
  <si>
    <t xml:space="preserve">The club's community involvement and charity work</t>
  </si>
  <si>
    <t xml:space="preserve">R34</t>
  </si>
  <si>
    <t xml:space="preserve">Events</t>
  </si>
  <si>
    <t xml:space="preserve">Upcoming events hosted or supported by the club</t>
  </si>
  <si>
    <t xml:space="preserve">R35</t>
  </si>
  <si>
    <t xml:space="preserve">Volunteer opportunities</t>
  </si>
  <si>
    <t xml:space="preserve">How fans can get involved</t>
  </si>
  <si>
    <t xml:space="preserve">R36</t>
  </si>
  <si>
    <t xml:space="preserve">Sponsors and partners</t>
  </si>
  <si>
    <t xml:space="preserve">Acknowledgment of sponsors and business partners</t>
  </si>
  <si>
    <t xml:space="preserve">R37</t>
  </si>
  <si>
    <t xml:space="preserve">Fan zone</t>
  </si>
  <si>
    <t xml:space="preserve">Supporters' club</t>
  </si>
  <si>
    <t xml:space="preserve">How to join the supporters' club, with benefits</t>
  </si>
  <si>
    <t xml:space="preserve">R38</t>
  </si>
  <si>
    <t xml:space="preserve">Fan forums</t>
  </si>
  <si>
    <t xml:space="preserve">A place for fans to discuss matches and players</t>
  </si>
  <si>
    <t xml:space="preserve">R39</t>
  </si>
  <si>
    <t xml:space="preserve">Social media links</t>
  </si>
  <si>
    <t xml:space="preserve">Links to the club's social media profiles</t>
  </si>
  <si>
    <t xml:space="preserve">R40</t>
  </si>
  <si>
    <t xml:space="preserve">Fan polls and surveys</t>
  </si>
  <si>
    <t xml:space="preserve">Interactive polls to engage the fan base</t>
  </si>
  <si>
    <t xml:space="preserve">R41</t>
  </si>
  <si>
    <t xml:space="preserve">Contact us</t>
  </si>
  <si>
    <t xml:space="preserve">Contact form</t>
  </si>
  <si>
    <t xml:space="preserve">A form for enquiries and feedback</t>
  </si>
  <si>
    <t xml:space="preserve">R42</t>
  </si>
  <si>
    <t xml:space="preserve">Club address and map</t>
  </si>
  <si>
    <t xml:space="preserve">Location of the club offices or stadium</t>
  </si>
  <si>
    <t xml:space="preserve">R43</t>
  </si>
  <si>
    <t xml:space="preserve">Phone and email</t>
  </si>
  <si>
    <t xml:space="preserve">Contact details for general, ticketing and media enquiries</t>
  </si>
  <si>
    <t xml:space="preserve">R44</t>
  </si>
  <si>
    <t xml:space="preserve">Press and media contact</t>
  </si>
  <si>
    <t xml:space="preserve">Contact information for media enquiries</t>
  </si>
  <si>
    <t xml:space="preserve">R45</t>
  </si>
  <si>
    <t xml:space="preserve">Sponsorship and partnerships</t>
  </si>
  <si>
    <t xml:space="preserve">Sponsorship opportunities</t>
  </si>
  <si>
    <t xml:space="preserve">How businesses can sponsor the club</t>
  </si>
  <si>
    <t xml:space="preserve">R46</t>
  </si>
  <si>
    <t xml:space="preserve">Current sponsors</t>
  </si>
  <si>
    <t xml:space="preserve">A list and description of current sponsors</t>
  </si>
  <si>
    <t xml:space="preserve">R47</t>
  </si>
  <si>
    <t xml:space="preserve">Partnerships</t>
  </si>
  <si>
    <t xml:space="preserve">Partnerships with other organisations or brands</t>
  </si>
  <si>
    <t xml:space="preserve">R48</t>
  </si>
  <si>
    <t xml:space="preserve">Official merchandise</t>
  </si>
  <si>
    <t xml:space="preserve">Online store for kits and club branded items</t>
  </si>
  <si>
    <t xml:space="preserve">R49</t>
  </si>
  <si>
    <t xml:space="preserve">Special offers</t>
  </si>
  <si>
    <t xml:space="preserve">Promotions or discounts on merchandise</t>
  </si>
  <si>
    <t xml:space="preserve">Items</t>
  </si>
  <si>
    <t xml:space="preserve">Briefed</t>
  </si>
  <si>
    <t xml:space="preserve">Backlog</t>
  </si>
  <si>
    <t xml:space="preserve">Total</t>
  </si>
  <si>
    <t xml:space="preserve">Project plan</t>
  </si>
  <si>
    <t xml:space="preserve">Week 1</t>
  </si>
  <si>
    <t xml:space="preserve">Week 2</t>
  </si>
  <si>
    <t xml:space="preserve">Task</t>
  </si>
  <si>
    <t xml:space="preserve">Owner</t>
  </si>
  <si>
    <t xml:space="preserve">Phase</t>
  </si>
  <si>
    <t xml:space="preserve">Start</t>
  </si>
  <si>
    <t xml:space="preserve">End</t>
  </si>
  <si>
    <t xml:space="preserve">T01</t>
  </si>
  <si>
    <t xml:space="preserve">Kickoff and discovery call request</t>
  </si>
  <si>
    <t xml:space="preserve">Business Analyst</t>
  </si>
  <si>
    <t xml:space="preserve">Discover</t>
  </si>
  <si>
    <t xml:space="preserve">Done</t>
  </si>
  <si>
    <t xml:space="preserve">T02</t>
  </si>
  <si>
    <t xml:space="preserve">Discovery call with football manager</t>
  </si>
  <si>
    <t xml:space="preserve">Business Analyst, Football manager</t>
  </si>
  <si>
    <t xml:space="preserve">T03</t>
  </si>
  <si>
    <t xml:space="preserve">Agree brand palette</t>
  </si>
  <si>
    <t xml:space="preserve">Football manager</t>
  </si>
  <si>
    <t xml:space="preserve">T04</t>
  </si>
  <si>
    <t xml:space="preserve">Write website structure document</t>
  </si>
  <si>
    <t xml:space="preserve">Define</t>
  </si>
  <si>
    <t xml:space="preserve">T05</t>
  </si>
  <si>
    <t xml:space="preserve">Collect club content: mission, vision, values, history</t>
  </si>
  <si>
    <t xml:space="preserve">T06</t>
  </si>
  <si>
    <t xml:space="preserve">Prioritise scope into must have pages</t>
  </si>
  <si>
    <t xml:space="preserve">T07</t>
  </si>
  <si>
    <t xml:space="preserve">Issue design brief to designer</t>
  </si>
  <si>
    <t xml:space="preserve">Design</t>
  </si>
  <si>
    <t xml:space="preserve">T08</t>
  </si>
  <si>
    <t xml:space="preserve">Build clickable Figma prototype</t>
  </si>
  <si>
    <t xml:space="preserve">UI/UX designer</t>
  </si>
  <si>
    <t xml:space="preserve">T09</t>
  </si>
  <si>
    <t xml:space="preserve">Prototype review with football manager</t>
  </si>
  <si>
    <t xml:space="preserve">Review</t>
  </si>
  <si>
    <t xml:space="preserve">T10</t>
  </si>
  <si>
    <t xml:space="preserve">Apply review changes from the football manager</t>
  </si>
  <si>
    <t xml:space="preserve">In progress</t>
  </si>
  <si>
    <t xml:space="preserve">T11</t>
  </si>
  <si>
    <t xml:space="preserve">Send revised prototype for sign off</t>
  </si>
  <si>
    <t xml:space="preserve">To do</t>
  </si>
  <si>
    <t xml:space="preserve">Tasks done</t>
  </si>
  <si>
    <t xml:space="preserve">Days planned</t>
  </si>
  <si>
    <t xml:space="preserve">Academy and youth section (later phase)</t>
  </si>
  <si>
    <t xml:space="preserve">Add league and accreditation marks</t>
  </si>
  <si>
    <t xml:space="preserve">Fix prototype link on mobile</t>
  </si>
  <si>
    <t xml:space="preserve">Community and outreach section (later phase)</t>
  </si>
  <si>
    <t xml:space="preserve">Link the club's media channel</t>
  </si>
  <si>
    <t xml:space="preserve">Collect club content</t>
  </si>
  <si>
    <t xml:space="preserve">Agree brand palette and colour priority</t>
  </si>
  <si>
    <t xml:space="preserve">Cards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</si>
</sst>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color rgb="FF7F7F7F"/>
        <sz val="10"/>
      </font>
      <fill>
        <patternFill>
          <bgColor rgb="FFF2F2F2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548235"/>
        </patternFill>
      </fill>
    </dxf>
    <dxf>
      <fill>
        <patternFill>
          <bgColor rgb="FFFFC000"/>
        </patternFill>
      </fill>
    </dxf>
    <dxf>
      <fill>
        <patternFill>
          <bgColor rgb="FFA6A6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1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8" min="7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2" t="s">
        <v>8</v>
      </c>
      <c r="B2" s="3" t="s">
        <v>9</v>
      </c>
      <c r="C2" s="3" t="s">
        <v>10</v>
      </c>
      <c r="D2" s="3" t="s">
        <v>11</v>
      </c>
      <c r="E2" s="2" t="s">
        <v>12</v>
      </c>
      <c r="F2" s="3" t="s">
        <v>9</v>
      </c>
      <c r="G2" s="2" t="s">
        <v>13</v>
      </c>
      <c r="H2" s="2" t="str">
        <f aca="false">IF(G2&lt;&gt;"","In prototype",IF(E2="Must have","Briefed","Backlog"))</f>
        <v>In prototype</v>
      </c>
    </row>
    <row r="3" customFormat="false" ht="14.25" hidden="false" customHeight="false" outlineLevel="0" collapsed="false">
      <c r="A3" s="2" t="s">
        <v>14</v>
      </c>
      <c r="B3" s="3" t="s">
        <v>9</v>
      </c>
      <c r="C3" s="3" t="s">
        <v>15</v>
      </c>
      <c r="D3" s="3" t="s">
        <v>16</v>
      </c>
      <c r="E3" s="2" t="s">
        <v>12</v>
      </c>
      <c r="F3" s="3" t="s">
        <v>9</v>
      </c>
      <c r="G3" s="2"/>
      <c r="H3" s="2" t="str">
        <f aca="false">IF(G3&lt;&gt;"","In prototype",IF(E3="Must have","Briefed","Backlog"))</f>
        <v>Briefed</v>
      </c>
    </row>
    <row r="4" customFormat="false" ht="14.25" hidden="false" customHeight="false" outlineLevel="0" collapsed="false">
      <c r="A4" s="2" t="s">
        <v>17</v>
      </c>
      <c r="B4" s="3" t="s">
        <v>9</v>
      </c>
      <c r="C4" s="3" t="s">
        <v>18</v>
      </c>
      <c r="D4" s="3" t="s">
        <v>19</v>
      </c>
      <c r="E4" s="2" t="s">
        <v>12</v>
      </c>
      <c r="F4" s="3" t="s">
        <v>9</v>
      </c>
      <c r="G4" s="2"/>
      <c r="H4" s="2" t="str">
        <f aca="false">IF(G4&lt;&gt;"","In prototype",IF(E4="Must have","Briefed","Backlog"))</f>
        <v>Briefed</v>
      </c>
    </row>
    <row r="5" customFormat="false" ht="14.25" hidden="false" customHeight="false" outlineLevel="0" collapsed="false">
      <c r="A5" s="2" t="s">
        <v>20</v>
      </c>
      <c r="B5" s="3" t="s">
        <v>9</v>
      </c>
      <c r="C5" s="3" t="s">
        <v>21</v>
      </c>
      <c r="D5" s="3" t="s">
        <v>22</v>
      </c>
      <c r="E5" s="2" t="s">
        <v>12</v>
      </c>
      <c r="F5" s="3" t="s">
        <v>9</v>
      </c>
      <c r="G5" s="2" t="s">
        <v>13</v>
      </c>
      <c r="H5" s="2" t="str">
        <f aca="false">IF(G5&lt;&gt;"","In prototype",IF(E5="Must have","Briefed","Backlog"))</f>
        <v>In prototype</v>
      </c>
    </row>
    <row r="6" customFormat="false" ht="14.25" hidden="false" customHeight="false" outlineLevel="0" collapsed="false">
      <c r="A6" s="2" t="s">
        <v>23</v>
      </c>
      <c r="B6" s="3" t="s">
        <v>9</v>
      </c>
      <c r="C6" s="3" t="s">
        <v>24</v>
      </c>
      <c r="D6" s="3" t="s">
        <v>25</v>
      </c>
      <c r="E6" s="2" t="s">
        <v>12</v>
      </c>
      <c r="F6" s="3" t="s">
        <v>9</v>
      </c>
      <c r="G6" s="2"/>
      <c r="H6" s="2" t="str">
        <f aca="false">IF(G6&lt;&gt;"","In prototype",IF(E6="Must have","Briefed","Backlog"))</f>
        <v>Briefed</v>
      </c>
    </row>
    <row r="7" customFormat="false" ht="14.25" hidden="false" customHeight="false" outlineLevel="0" collapsed="false">
      <c r="A7" s="2" t="s">
        <v>26</v>
      </c>
      <c r="B7" s="3" t="s">
        <v>9</v>
      </c>
      <c r="C7" s="3" t="s">
        <v>27</v>
      </c>
      <c r="D7" s="3" t="s">
        <v>28</v>
      </c>
      <c r="E7" s="2" t="s">
        <v>12</v>
      </c>
      <c r="F7" s="3" t="s">
        <v>9</v>
      </c>
      <c r="G7" s="2" t="s">
        <v>29</v>
      </c>
      <c r="H7" s="2" t="str">
        <f aca="false">IF(G7&lt;&gt;"","In prototype",IF(E7="Must have","Briefed","Backlog"))</f>
        <v>In prototype</v>
      </c>
    </row>
    <row r="8" customFormat="false" ht="14.25" hidden="false" customHeight="false" outlineLevel="0" collapsed="false">
      <c r="A8" s="2" t="s">
        <v>30</v>
      </c>
      <c r="B8" s="3" t="s">
        <v>31</v>
      </c>
      <c r="C8" s="3" t="s">
        <v>32</v>
      </c>
      <c r="D8" s="3" t="s">
        <v>33</v>
      </c>
      <c r="E8" s="2" t="s">
        <v>12</v>
      </c>
      <c r="F8" s="3" t="s">
        <v>31</v>
      </c>
      <c r="G8" s="2"/>
      <c r="H8" s="2" t="str">
        <f aca="false">IF(G8&lt;&gt;"","In prototype",IF(E8="Must have","Briefed","Backlog"))</f>
        <v>Briefed</v>
      </c>
    </row>
    <row r="9" customFormat="false" ht="14.25" hidden="false" customHeight="false" outlineLevel="0" collapsed="false">
      <c r="A9" s="2" t="s">
        <v>34</v>
      </c>
      <c r="B9" s="3" t="s">
        <v>31</v>
      </c>
      <c r="C9" s="3" t="s">
        <v>35</v>
      </c>
      <c r="D9" s="3" t="s">
        <v>36</v>
      </c>
      <c r="E9" s="2" t="s">
        <v>12</v>
      </c>
      <c r="F9" s="3" t="s">
        <v>35</v>
      </c>
      <c r="G9" s="2" t="s">
        <v>29</v>
      </c>
      <c r="H9" s="2" t="str">
        <f aca="false">IF(G9&lt;&gt;"","In prototype",IF(E9="Must have","Briefed","Backlog"))</f>
        <v>In prototype</v>
      </c>
    </row>
    <row r="10" customFormat="false" ht="14.25" hidden="false" customHeight="false" outlineLevel="0" collapsed="false">
      <c r="A10" s="2" t="s">
        <v>37</v>
      </c>
      <c r="B10" s="3" t="s">
        <v>31</v>
      </c>
      <c r="C10" s="3" t="s">
        <v>38</v>
      </c>
      <c r="D10" s="3" t="s">
        <v>39</v>
      </c>
      <c r="E10" s="2" t="s">
        <v>12</v>
      </c>
      <c r="F10" s="3" t="s">
        <v>31</v>
      </c>
      <c r="G10" s="2"/>
      <c r="H10" s="2" t="str">
        <f aca="false">IF(G10&lt;&gt;"","In prototype",IF(E10="Must have","Briefed","Backlog"))</f>
        <v>Briefed</v>
      </c>
    </row>
    <row r="11" customFormat="false" ht="14.25" hidden="false" customHeight="false" outlineLevel="0" collapsed="false">
      <c r="A11" s="2" t="s">
        <v>40</v>
      </c>
      <c r="B11" s="3" t="s">
        <v>31</v>
      </c>
      <c r="C11" s="3" t="s">
        <v>41</v>
      </c>
      <c r="D11" s="3" t="s">
        <v>42</v>
      </c>
      <c r="E11" s="2" t="s">
        <v>12</v>
      </c>
      <c r="F11" s="3" t="s">
        <v>31</v>
      </c>
      <c r="G11" s="2"/>
      <c r="H11" s="2" t="str">
        <f aca="false">IF(G11&lt;&gt;"","In prototype",IF(E11="Must have","Briefed","Backlog"))</f>
        <v>Briefed</v>
      </c>
    </row>
    <row r="12" customFormat="false" ht="14.25" hidden="false" customHeight="false" outlineLevel="0" collapsed="false">
      <c r="A12" s="2" t="s">
        <v>43</v>
      </c>
      <c r="B12" s="3" t="s">
        <v>31</v>
      </c>
      <c r="C12" s="3" t="s">
        <v>44</v>
      </c>
      <c r="D12" s="3" t="s">
        <v>45</v>
      </c>
      <c r="E12" s="2" t="s">
        <v>12</v>
      </c>
      <c r="F12" s="3" t="s">
        <v>31</v>
      </c>
      <c r="G12" s="2"/>
      <c r="H12" s="2" t="str">
        <f aca="false">IF(G12&lt;&gt;"","In prototype",IF(E12="Must have","Briefed","Backlog"))</f>
        <v>Briefed</v>
      </c>
    </row>
    <row r="13" customFormat="false" ht="14.25" hidden="false" customHeight="false" outlineLevel="0" collapsed="false">
      <c r="A13" s="2" t="s">
        <v>46</v>
      </c>
      <c r="B13" s="3" t="s">
        <v>47</v>
      </c>
      <c r="C13" s="3" t="s">
        <v>48</v>
      </c>
      <c r="D13" s="3" t="s">
        <v>49</v>
      </c>
      <c r="E13" s="2" t="s">
        <v>12</v>
      </c>
      <c r="F13" s="3" t="s">
        <v>50</v>
      </c>
      <c r="G13" s="2"/>
      <c r="H13" s="2" t="str">
        <f aca="false">IF(G13&lt;&gt;"","In prototype",IF(E13="Must have","Briefed","Backlog"))</f>
        <v>Briefed</v>
      </c>
    </row>
    <row r="14" customFormat="false" ht="14.25" hidden="false" customHeight="false" outlineLevel="0" collapsed="false">
      <c r="A14" s="2" t="s">
        <v>51</v>
      </c>
      <c r="B14" s="3" t="s">
        <v>47</v>
      </c>
      <c r="C14" s="3" t="s">
        <v>52</v>
      </c>
      <c r="D14" s="3" t="s">
        <v>53</v>
      </c>
      <c r="E14" s="2" t="s">
        <v>12</v>
      </c>
      <c r="F14" s="3" t="s">
        <v>50</v>
      </c>
      <c r="G14" s="2"/>
      <c r="H14" s="2" t="str">
        <f aca="false">IF(G14&lt;&gt;"","In prototype",IF(E14="Must have","Briefed","Backlog"))</f>
        <v>Briefed</v>
      </c>
    </row>
    <row r="15" customFormat="false" ht="14.25" hidden="false" customHeight="false" outlineLevel="0" collapsed="false">
      <c r="A15" s="2" t="s">
        <v>54</v>
      </c>
      <c r="B15" s="3" t="s">
        <v>47</v>
      </c>
      <c r="C15" s="3" t="s">
        <v>55</v>
      </c>
      <c r="D15" s="3" t="s">
        <v>56</v>
      </c>
      <c r="E15" s="2" t="s">
        <v>12</v>
      </c>
      <c r="F15" s="3" t="s">
        <v>50</v>
      </c>
      <c r="G15" s="2"/>
      <c r="H15" s="2" t="str">
        <f aca="false">IF(G15&lt;&gt;"","In prototype",IF(E15="Must have","Briefed","Backlog"))</f>
        <v>Briefed</v>
      </c>
    </row>
    <row r="16" customFormat="false" ht="14.25" hidden="false" customHeight="false" outlineLevel="0" collapsed="false">
      <c r="A16" s="2" t="s">
        <v>57</v>
      </c>
      <c r="B16" s="3" t="s">
        <v>47</v>
      </c>
      <c r="C16" s="3" t="s">
        <v>58</v>
      </c>
      <c r="D16" s="3" t="s">
        <v>59</v>
      </c>
      <c r="E16" s="2" t="s">
        <v>12</v>
      </c>
      <c r="F16" s="3" t="s">
        <v>50</v>
      </c>
      <c r="G16" s="2"/>
      <c r="H16" s="2" t="str">
        <f aca="false">IF(G16&lt;&gt;"","In prototype",IF(E16="Must have","Briefed","Backlog"))</f>
        <v>Briefed</v>
      </c>
    </row>
    <row r="17" customFormat="false" ht="14.25" hidden="false" customHeight="false" outlineLevel="0" collapsed="false">
      <c r="A17" s="2" t="s">
        <v>60</v>
      </c>
      <c r="B17" s="3" t="s">
        <v>61</v>
      </c>
      <c r="C17" s="3" t="s">
        <v>62</v>
      </c>
      <c r="D17" s="3" t="s">
        <v>63</v>
      </c>
      <c r="E17" s="2" t="s">
        <v>12</v>
      </c>
      <c r="F17" s="3" t="s">
        <v>50</v>
      </c>
      <c r="G17" s="2" t="s">
        <v>13</v>
      </c>
      <c r="H17" s="2" t="str">
        <f aca="false">IF(G17&lt;&gt;"","In prototype",IF(E17="Must have","Briefed","Backlog"))</f>
        <v>In prototype</v>
      </c>
    </row>
    <row r="18" customFormat="false" ht="14.25" hidden="false" customHeight="false" outlineLevel="0" collapsed="false">
      <c r="A18" s="2" t="s">
        <v>64</v>
      </c>
      <c r="B18" s="3" t="s">
        <v>61</v>
      </c>
      <c r="C18" s="3" t="s">
        <v>65</v>
      </c>
      <c r="D18" s="3" t="s">
        <v>66</v>
      </c>
      <c r="E18" s="2" t="s">
        <v>12</v>
      </c>
      <c r="F18" s="3" t="s">
        <v>50</v>
      </c>
      <c r="G18" s="2"/>
      <c r="H18" s="2" t="str">
        <f aca="false">IF(G18&lt;&gt;"","In prototype",IF(E18="Must have","Briefed","Backlog"))</f>
        <v>Briefed</v>
      </c>
    </row>
    <row r="19" customFormat="false" ht="14.25" hidden="false" customHeight="false" outlineLevel="0" collapsed="false">
      <c r="A19" s="2" t="s">
        <v>67</v>
      </c>
      <c r="B19" s="3" t="s">
        <v>61</v>
      </c>
      <c r="C19" s="3" t="s">
        <v>68</v>
      </c>
      <c r="D19" s="3" t="s">
        <v>69</v>
      </c>
      <c r="E19" s="2" t="s">
        <v>12</v>
      </c>
      <c r="F19" s="3" t="s">
        <v>50</v>
      </c>
      <c r="G19" s="2" t="s">
        <v>13</v>
      </c>
      <c r="H19" s="2" t="str">
        <f aca="false">IF(G19&lt;&gt;"","In prototype",IF(E19="Must have","Briefed","Backlog"))</f>
        <v>In prototype</v>
      </c>
    </row>
    <row r="20" customFormat="false" ht="14.25" hidden="false" customHeight="false" outlineLevel="0" collapsed="false">
      <c r="A20" s="2" t="s">
        <v>70</v>
      </c>
      <c r="B20" s="3" t="s">
        <v>61</v>
      </c>
      <c r="C20" s="3" t="s">
        <v>71</v>
      </c>
      <c r="D20" s="3" t="s">
        <v>72</v>
      </c>
      <c r="E20" s="2" t="s">
        <v>12</v>
      </c>
      <c r="F20" s="3" t="s">
        <v>50</v>
      </c>
      <c r="G20" s="2"/>
      <c r="H20" s="2" t="str">
        <f aca="false">IF(G20&lt;&gt;"","In prototype",IF(E20="Must have","Briefed","Backlog"))</f>
        <v>Briefed</v>
      </c>
    </row>
    <row r="21" customFormat="false" ht="14.25" hidden="false" customHeight="false" outlineLevel="0" collapsed="false">
      <c r="A21" s="2" t="s">
        <v>73</v>
      </c>
      <c r="B21" s="3" t="s">
        <v>74</v>
      </c>
      <c r="C21" s="3" t="s">
        <v>75</v>
      </c>
      <c r="D21" s="3" t="s">
        <v>76</v>
      </c>
      <c r="E21" s="2" t="s">
        <v>12</v>
      </c>
      <c r="F21" s="3" t="s">
        <v>18</v>
      </c>
      <c r="G21" s="2"/>
      <c r="H21" s="2" t="str">
        <f aca="false">IF(G21&lt;&gt;"","In prototype",IF(E21="Must have","Briefed","Backlog"))</f>
        <v>Briefed</v>
      </c>
    </row>
    <row r="22" customFormat="false" ht="14.25" hidden="false" customHeight="false" outlineLevel="0" collapsed="false">
      <c r="A22" s="2" t="s">
        <v>77</v>
      </c>
      <c r="B22" s="3" t="s">
        <v>74</v>
      </c>
      <c r="C22" s="3" t="s">
        <v>78</v>
      </c>
      <c r="D22" s="3" t="s">
        <v>79</v>
      </c>
      <c r="E22" s="2" t="s">
        <v>12</v>
      </c>
      <c r="F22" s="3" t="s">
        <v>18</v>
      </c>
      <c r="G22" s="2"/>
      <c r="H22" s="2" t="str">
        <f aca="false">IF(G22&lt;&gt;"","In prototype",IF(E22="Must have","Briefed","Backlog"))</f>
        <v>Briefed</v>
      </c>
    </row>
    <row r="23" customFormat="false" ht="14.25" hidden="false" customHeight="false" outlineLevel="0" collapsed="false">
      <c r="A23" s="2" t="s">
        <v>80</v>
      </c>
      <c r="B23" s="3" t="s">
        <v>74</v>
      </c>
      <c r="C23" s="3" t="s">
        <v>81</v>
      </c>
      <c r="D23" s="3" t="s">
        <v>82</v>
      </c>
      <c r="E23" s="2" t="s">
        <v>12</v>
      </c>
      <c r="F23" s="3" t="s">
        <v>18</v>
      </c>
      <c r="G23" s="2"/>
      <c r="H23" s="2" t="str">
        <f aca="false">IF(G23&lt;&gt;"","In prototype",IF(E23="Must have","Briefed","Backlog"))</f>
        <v>Briefed</v>
      </c>
    </row>
    <row r="24" customFormat="false" ht="14.25" hidden="false" customHeight="false" outlineLevel="0" collapsed="false">
      <c r="A24" s="2" t="s">
        <v>83</v>
      </c>
      <c r="B24" s="3" t="s">
        <v>74</v>
      </c>
      <c r="C24" s="3" t="s">
        <v>84</v>
      </c>
      <c r="D24" s="3" t="s">
        <v>85</v>
      </c>
      <c r="E24" s="2" t="s">
        <v>12</v>
      </c>
      <c r="F24" s="3" t="s">
        <v>18</v>
      </c>
      <c r="G24" s="2"/>
      <c r="H24" s="2" t="str">
        <f aca="false">IF(G24&lt;&gt;"","In prototype",IF(E24="Must have","Briefed","Backlog"))</f>
        <v>Briefed</v>
      </c>
    </row>
    <row r="25" customFormat="false" ht="14.25" hidden="false" customHeight="false" outlineLevel="0" collapsed="false">
      <c r="A25" s="2" t="s">
        <v>86</v>
      </c>
      <c r="B25" s="3" t="s">
        <v>74</v>
      </c>
      <c r="C25" s="3" t="s">
        <v>87</v>
      </c>
      <c r="D25" s="3" t="s">
        <v>88</v>
      </c>
      <c r="E25" s="2" t="s">
        <v>12</v>
      </c>
      <c r="F25" s="3" t="s">
        <v>18</v>
      </c>
      <c r="G25" s="2"/>
      <c r="H25" s="2" t="str">
        <f aca="false">IF(G25&lt;&gt;"","In prototype",IF(E25="Must have","Briefed","Backlog"))</f>
        <v>Briefed</v>
      </c>
    </row>
    <row r="26" customFormat="false" ht="14.25" hidden="false" customHeight="false" outlineLevel="0" collapsed="false">
      <c r="A26" s="2" t="s">
        <v>89</v>
      </c>
      <c r="B26" s="3" t="s">
        <v>90</v>
      </c>
      <c r="C26" s="3" t="s">
        <v>91</v>
      </c>
      <c r="D26" s="3" t="s">
        <v>92</v>
      </c>
      <c r="E26" s="2" t="s">
        <v>12</v>
      </c>
      <c r="F26" s="3" t="s">
        <v>93</v>
      </c>
      <c r="G26" s="2"/>
      <c r="H26" s="2" t="str">
        <f aca="false">IF(G26&lt;&gt;"","In prototype",IF(E26="Must have","Briefed","Backlog"))</f>
        <v>Briefed</v>
      </c>
    </row>
    <row r="27" customFormat="false" ht="14.25" hidden="false" customHeight="false" outlineLevel="0" collapsed="false">
      <c r="A27" s="2" t="s">
        <v>94</v>
      </c>
      <c r="B27" s="3" t="s">
        <v>90</v>
      </c>
      <c r="C27" s="3" t="s">
        <v>95</v>
      </c>
      <c r="D27" s="3" t="s">
        <v>96</v>
      </c>
      <c r="E27" s="2" t="s">
        <v>12</v>
      </c>
      <c r="F27" s="3" t="s">
        <v>93</v>
      </c>
      <c r="G27" s="2"/>
      <c r="H27" s="2" t="str">
        <f aca="false">IF(G27&lt;&gt;"","In prototype",IF(E27="Must have","Briefed","Backlog"))</f>
        <v>Briefed</v>
      </c>
    </row>
    <row r="28" customFormat="false" ht="14.25" hidden="false" customHeight="false" outlineLevel="0" collapsed="false">
      <c r="A28" s="2" t="s">
        <v>97</v>
      </c>
      <c r="B28" s="3" t="s">
        <v>90</v>
      </c>
      <c r="C28" s="3" t="s">
        <v>93</v>
      </c>
      <c r="D28" s="3" t="s">
        <v>98</v>
      </c>
      <c r="E28" s="2" t="s">
        <v>12</v>
      </c>
      <c r="F28" s="3" t="s">
        <v>93</v>
      </c>
      <c r="G28" s="2" t="s">
        <v>29</v>
      </c>
      <c r="H28" s="2" t="str">
        <f aca="false">IF(G28&lt;&gt;"","In prototype",IF(E28="Must have","Briefed","Backlog"))</f>
        <v>In prototype</v>
      </c>
    </row>
    <row r="29" customFormat="false" ht="14.25" hidden="false" customHeight="false" outlineLevel="0" collapsed="false">
      <c r="A29" s="2" t="s">
        <v>99</v>
      </c>
      <c r="B29" s="3" t="s">
        <v>90</v>
      </c>
      <c r="C29" s="3" t="s">
        <v>100</v>
      </c>
      <c r="D29" s="3" t="s">
        <v>101</v>
      </c>
      <c r="E29" s="2" t="s">
        <v>12</v>
      </c>
      <c r="F29" s="3" t="s">
        <v>102</v>
      </c>
      <c r="G29" s="2" t="s">
        <v>29</v>
      </c>
      <c r="H29" s="2" t="str">
        <f aca="false">IF(G29&lt;&gt;"","In prototype",IF(E29="Must have","Briefed","Backlog"))</f>
        <v>In prototype</v>
      </c>
    </row>
    <row r="30" customFormat="false" ht="14.25" hidden="false" customHeight="false" outlineLevel="0" collapsed="false">
      <c r="A30" s="2" t="s">
        <v>103</v>
      </c>
      <c r="B30" s="3" t="s">
        <v>104</v>
      </c>
      <c r="C30" s="3" t="s">
        <v>105</v>
      </c>
      <c r="D30" s="3" t="s">
        <v>106</v>
      </c>
      <c r="E30" s="2" t="s">
        <v>107</v>
      </c>
      <c r="F30" s="3"/>
      <c r="G30" s="2"/>
      <c r="H30" s="2" t="str">
        <f aca="false">IF(G30&lt;&gt;"","In prototype",IF(E30="Must have","Briefed","Backlog"))</f>
        <v>Backlog</v>
      </c>
    </row>
    <row r="31" customFormat="false" ht="14.25" hidden="false" customHeight="false" outlineLevel="0" collapsed="false">
      <c r="A31" s="2" t="s">
        <v>108</v>
      </c>
      <c r="B31" s="3" t="s">
        <v>104</v>
      </c>
      <c r="C31" s="3" t="s">
        <v>109</v>
      </c>
      <c r="D31" s="3" t="s">
        <v>110</v>
      </c>
      <c r="E31" s="2" t="s">
        <v>107</v>
      </c>
      <c r="F31" s="3"/>
      <c r="G31" s="2"/>
      <c r="H31" s="2" t="str">
        <f aca="false">IF(G31&lt;&gt;"","In prototype",IF(E31="Must have","Briefed","Backlog"))</f>
        <v>Backlog</v>
      </c>
    </row>
    <row r="32" customFormat="false" ht="14.25" hidden="false" customHeight="false" outlineLevel="0" collapsed="false">
      <c r="A32" s="2" t="s">
        <v>111</v>
      </c>
      <c r="B32" s="3" t="s">
        <v>104</v>
      </c>
      <c r="C32" s="3" t="s">
        <v>112</v>
      </c>
      <c r="D32" s="3" t="s">
        <v>113</v>
      </c>
      <c r="E32" s="2" t="s">
        <v>107</v>
      </c>
      <c r="F32" s="3"/>
      <c r="G32" s="2"/>
      <c r="H32" s="2" t="str">
        <f aca="false">IF(G32&lt;&gt;"","In prototype",IF(E32="Must have","Briefed","Backlog"))</f>
        <v>Backlog</v>
      </c>
    </row>
    <row r="33" customFormat="false" ht="14.25" hidden="false" customHeight="false" outlineLevel="0" collapsed="false">
      <c r="A33" s="2" t="s">
        <v>114</v>
      </c>
      <c r="B33" s="3" t="s">
        <v>104</v>
      </c>
      <c r="C33" s="3" t="s">
        <v>115</v>
      </c>
      <c r="D33" s="3" t="s">
        <v>116</v>
      </c>
      <c r="E33" s="2" t="s">
        <v>107</v>
      </c>
      <c r="F33" s="3"/>
      <c r="G33" s="2"/>
      <c r="H33" s="2" t="str">
        <f aca="false">IF(G33&lt;&gt;"","In prototype",IF(E33="Must have","Briefed","Backlog"))</f>
        <v>Backlog</v>
      </c>
    </row>
    <row r="34" customFormat="false" ht="14.25" hidden="false" customHeight="false" outlineLevel="0" collapsed="false">
      <c r="A34" s="2" t="s">
        <v>117</v>
      </c>
      <c r="B34" s="3" t="s">
        <v>118</v>
      </c>
      <c r="C34" s="3" t="s">
        <v>119</v>
      </c>
      <c r="D34" s="3" t="s">
        <v>120</v>
      </c>
      <c r="E34" s="2" t="s">
        <v>107</v>
      </c>
      <c r="F34" s="3"/>
      <c r="G34" s="2"/>
      <c r="H34" s="2" t="str">
        <f aca="false">IF(G34&lt;&gt;"","In prototype",IF(E34="Must have","Briefed","Backlog"))</f>
        <v>Backlog</v>
      </c>
    </row>
    <row r="35" customFormat="false" ht="14.25" hidden="false" customHeight="false" outlineLevel="0" collapsed="false">
      <c r="A35" s="2" t="s">
        <v>121</v>
      </c>
      <c r="B35" s="3" t="s">
        <v>118</v>
      </c>
      <c r="C35" s="3" t="s">
        <v>122</v>
      </c>
      <c r="D35" s="3" t="s">
        <v>123</v>
      </c>
      <c r="E35" s="2" t="s">
        <v>107</v>
      </c>
      <c r="F35" s="3"/>
      <c r="G35" s="2"/>
      <c r="H35" s="2" t="str">
        <f aca="false">IF(G35&lt;&gt;"","In prototype",IF(E35="Must have","Briefed","Backlog"))</f>
        <v>Backlog</v>
      </c>
    </row>
    <row r="36" customFormat="false" ht="14.25" hidden="false" customHeight="false" outlineLevel="0" collapsed="false">
      <c r="A36" s="2" t="s">
        <v>124</v>
      </c>
      <c r="B36" s="3" t="s">
        <v>118</v>
      </c>
      <c r="C36" s="3" t="s">
        <v>125</v>
      </c>
      <c r="D36" s="3" t="s">
        <v>126</v>
      </c>
      <c r="E36" s="2" t="s">
        <v>107</v>
      </c>
      <c r="F36" s="3"/>
      <c r="G36" s="2"/>
      <c r="H36" s="2" t="str">
        <f aca="false">IF(G36&lt;&gt;"","In prototype",IF(E36="Must have","Briefed","Backlog"))</f>
        <v>Backlog</v>
      </c>
    </row>
    <row r="37" customFormat="false" ht="14.25" hidden="false" customHeight="false" outlineLevel="0" collapsed="false">
      <c r="A37" s="2" t="s">
        <v>127</v>
      </c>
      <c r="B37" s="3" t="s">
        <v>118</v>
      </c>
      <c r="C37" s="3" t="s">
        <v>128</v>
      </c>
      <c r="D37" s="3" t="s">
        <v>129</v>
      </c>
      <c r="E37" s="2" t="s">
        <v>107</v>
      </c>
      <c r="F37" s="3"/>
      <c r="G37" s="2"/>
      <c r="H37" s="2" t="str">
        <f aca="false">IF(G37&lt;&gt;"","In prototype",IF(E37="Must have","Briefed","Backlog"))</f>
        <v>Backlog</v>
      </c>
    </row>
    <row r="38" customFormat="false" ht="14.25" hidden="false" customHeight="false" outlineLevel="0" collapsed="false">
      <c r="A38" s="2" t="s">
        <v>130</v>
      </c>
      <c r="B38" s="3" t="s">
        <v>131</v>
      </c>
      <c r="C38" s="3" t="s">
        <v>132</v>
      </c>
      <c r="D38" s="3" t="s">
        <v>133</v>
      </c>
      <c r="E38" s="2" t="s">
        <v>12</v>
      </c>
      <c r="F38" s="3" t="s">
        <v>131</v>
      </c>
      <c r="G38" s="2"/>
      <c r="H38" s="2" t="str">
        <f aca="false">IF(G38&lt;&gt;"","In prototype",IF(E38="Must have","Briefed","Backlog"))</f>
        <v>Briefed</v>
      </c>
    </row>
    <row r="39" customFormat="false" ht="14.25" hidden="false" customHeight="false" outlineLevel="0" collapsed="false">
      <c r="A39" s="2" t="s">
        <v>134</v>
      </c>
      <c r="B39" s="3" t="s">
        <v>131</v>
      </c>
      <c r="C39" s="3" t="s">
        <v>135</v>
      </c>
      <c r="D39" s="3" t="s">
        <v>136</v>
      </c>
      <c r="E39" s="2" t="s">
        <v>12</v>
      </c>
      <c r="F39" s="3" t="s">
        <v>131</v>
      </c>
      <c r="G39" s="2"/>
      <c r="H39" s="2" t="str">
        <f aca="false">IF(G39&lt;&gt;"","In prototype",IF(E39="Must have","Briefed","Backlog"))</f>
        <v>Briefed</v>
      </c>
    </row>
    <row r="40" customFormat="false" ht="14.25" hidden="false" customHeight="false" outlineLevel="0" collapsed="false">
      <c r="A40" s="2" t="s">
        <v>137</v>
      </c>
      <c r="B40" s="3" t="s">
        <v>131</v>
      </c>
      <c r="C40" s="3" t="s">
        <v>138</v>
      </c>
      <c r="D40" s="3" t="s">
        <v>139</v>
      </c>
      <c r="E40" s="2" t="s">
        <v>12</v>
      </c>
      <c r="F40" s="3" t="s">
        <v>131</v>
      </c>
      <c r="G40" s="2" t="s">
        <v>13</v>
      </c>
      <c r="H40" s="2" t="str">
        <f aca="false">IF(G40&lt;&gt;"","In prototype",IF(E40="Must have","Briefed","Backlog"))</f>
        <v>In prototype</v>
      </c>
    </row>
    <row r="41" customFormat="false" ht="14.25" hidden="false" customHeight="false" outlineLevel="0" collapsed="false">
      <c r="A41" s="2" t="s">
        <v>140</v>
      </c>
      <c r="B41" s="3" t="s">
        <v>131</v>
      </c>
      <c r="C41" s="3" t="s">
        <v>141</v>
      </c>
      <c r="D41" s="3" t="s">
        <v>142</v>
      </c>
      <c r="E41" s="2" t="s">
        <v>12</v>
      </c>
      <c r="F41" s="3" t="s">
        <v>131</v>
      </c>
      <c r="G41" s="2"/>
      <c r="H41" s="2" t="str">
        <f aca="false">IF(G41&lt;&gt;"","In prototype",IF(E41="Must have","Briefed","Backlog"))</f>
        <v>Briefed</v>
      </c>
    </row>
    <row r="42" customFormat="false" ht="14.25" hidden="false" customHeight="false" outlineLevel="0" collapsed="false">
      <c r="A42" s="2" t="s">
        <v>143</v>
      </c>
      <c r="B42" s="3" t="s">
        <v>144</v>
      </c>
      <c r="C42" s="3" t="s">
        <v>145</v>
      </c>
      <c r="D42" s="3" t="s">
        <v>146</v>
      </c>
      <c r="E42" s="2" t="s">
        <v>12</v>
      </c>
      <c r="F42" s="3" t="s">
        <v>144</v>
      </c>
      <c r="G42" s="2" t="s">
        <v>29</v>
      </c>
      <c r="H42" s="2" t="str">
        <f aca="false">IF(G42&lt;&gt;"","In prototype",IF(E42="Must have","Briefed","Backlog"))</f>
        <v>In prototype</v>
      </c>
    </row>
    <row r="43" customFormat="false" ht="14.25" hidden="false" customHeight="false" outlineLevel="0" collapsed="false">
      <c r="A43" s="2" t="s">
        <v>147</v>
      </c>
      <c r="B43" s="3" t="s">
        <v>144</v>
      </c>
      <c r="C43" s="3" t="s">
        <v>148</v>
      </c>
      <c r="D43" s="3" t="s">
        <v>149</v>
      </c>
      <c r="E43" s="2" t="s">
        <v>12</v>
      </c>
      <c r="F43" s="3" t="s">
        <v>144</v>
      </c>
      <c r="G43" s="2"/>
      <c r="H43" s="2" t="str">
        <f aca="false">IF(G43&lt;&gt;"","In prototype",IF(E43="Must have","Briefed","Backlog"))</f>
        <v>Briefed</v>
      </c>
    </row>
    <row r="44" customFormat="false" ht="14.25" hidden="false" customHeight="false" outlineLevel="0" collapsed="false">
      <c r="A44" s="2" t="s">
        <v>150</v>
      </c>
      <c r="B44" s="3" t="s">
        <v>144</v>
      </c>
      <c r="C44" s="3" t="s">
        <v>151</v>
      </c>
      <c r="D44" s="3" t="s">
        <v>152</v>
      </c>
      <c r="E44" s="2" t="s">
        <v>12</v>
      </c>
      <c r="F44" s="3" t="s">
        <v>144</v>
      </c>
      <c r="G44" s="2"/>
      <c r="H44" s="2" t="str">
        <f aca="false">IF(G44&lt;&gt;"","In prototype",IF(E44="Must have","Briefed","Backlog"))</f>
        <v>Briefed</v>
      </c>
    </row>
    <row r="45" customFormat="false" ht="14.25" hidden="false" customHeight="false" outlineLevel="0" collapsed="false">
      <c r="A45" s="2" t="s">
        <v>153</v>
      </c>
      <c r="B45" s="3" t="s">
        <v>144</v>
      </c>
      <c r="C45" s="3" t="s">
        <v>154</v>
      </c>
      <c r="D45" s="3" t="s">
        <v>155</v>
      </c>
      <c r="E45" s="2" t="s">
        <v>12</v>
      </c>
      <c r="F45" s="3" t="s">
        <v>144</v>
      </c>
      <c r="G45" s="2"/>
      <c r="H45" s="2" t="str">
        <f aca="false">IF(G45&lt;&gt;"","In prototype",IF(E45="Must have","Briefed","Backlog"))</f>
        <v>Briefed</v>
      </c>
    </row>
    <row r="46" customFormat="false" ht="24.75" hidden="false" customHeight="true" outlineLevel="0" collapsed="false">
      <c r="A46" s="2" t="s">
        <v>156</v>
      </c>
      <c r="B46" s="3" t="s">
        <v>157</v>
      </c>
      <c r="C46" s="3" t="s">
        <v>158</v>
      </c>
      <c r="D46" s="3" t="s">
        <v>159</v>
      </c>
      <c r="E46" s="2" t="s">
        <v>12</v>
      </c>
      <c r="F46" s="3" t="s">
        <v>157</v>
      </c>
      <c r="G46" s="2" t="s">
        <v>13</v>
      </c>
      <c r="H46" s="2" t="str">
        <f aca="false">IF(G46&lt;&gt;"","In prototype",IF(E46="Must have","Briefed","Backlog"))</f>
        <v>In prototype</v>
      </c>
    </row>
    <row r="47" customFormat="false" ht="24.75" hidden="false" customHeight="true" outlineLevel="0" collapsed="false">
      <c r="A47" s="2" t="s">
        <v>160</v>
      </c>
      <c r="B47" s="3" t="s">
        <v>157</v>
      </c>
      <c r="C47" s="3" t="s">
        <v>161</v>
      </c>
      <c r="D47" s="3" t="s">
        <v>162</v>
      </c>
      <c r="E47" s="2" t="s">
        <v>12</v>
      </c>
      <c r="F47" s="3" t="s">
        <v>157</v>
      </c>
      <c r="G47" s="2"/>
      <c r="H47" s="2" t="str">
        <f aca="false">IF(G47&lt;&gt;"","In prototype",IF(E47="Must have","Briefed","Backlog"))</f>
        <v>Briefed</v>
      </c>
    </row>
    <row r="48" customFormat="false" ht="24.75" hidden="false" customHeight="true" outlineLevel="0" collapsed="false">
      <c r="A48" s="2" t="s">
        <v>163</v>
      </c>
      <c r="B48" s="3" t="s">
        <v>157</v>
      </c>
      <c r="C48" s="3" t="s">
        <v>164</v>
      </c>
      <c r="D48" s="3" t="s">
        <v>165</v>
      </c>
      <c r="E48" s="2" t="s">
        <v>12</v>
      </c>
      <c r="F48" s="3" t="s">
        <v>157</v>
      </c>
      <c r="G48" s="2"/>
      <c r="H48" s="2" t="str">
        <f aca="false">IF(G48&lt;&gt;"","In prototype",IF(E48="Must have","Briefed","Backlog"))</f>
        <v>Briefed</v>
      </c>
    </row>
    <row r="49" customFormat="false" ht="14.25" hidden="false" customHeight="false" outlineLevel="0" collapsed="false">
      <c r="A49" s="2" t="s">
        <v>166</v>
      </c>
      <c r="B49" s="3" t="s">
        <v>102</v>
      </c>
      <c r="C49" s="3" t="s">
        <v>167</v>
      </c>
      <c r="D49" s="3" t="s">
        <v>168</v>
      </c>
      <c r="E49" s="2" t="s">
        <v>12</v>
      </c>
      <c r="F49" s="3" t="s">
        <v>102</v>
      </c>
      <c r="G49" s="2" t="s">
        <v>29</v>
      </c>
      <c r="H49" s="2" t="str">
        <f aca="false">IF(G49&lt;&gt;"","In prototype",IF(E49="Must have","Briefed","Backlog"))</f>
        <v>In prototype</v>
      </c>
    </row>
    <row r="50" customFormat="false" ht="14.25" hidden="false" customHeight="false" outlineLevel="0" collapsed="false">
      <c r="A50" s="2" t="s">
        <v>169</v>
      </c>
      <c r="B50" s="3" t="s">
        <v>102</v>
      </c>
      <c r="C50" s="3" t="s">
        <v>170</v>
      </c>
      <c r="D50" s="3" t="s">
        <v>171</v>
      </c>
      <c r="E50" s="2" t="s">
        <v>12</v>
      </c>
      <c r="F50" s="3" t="s">
        <v>102</v>
      </c>
      <c r="G50" s="2"/>
      <c r="H50" s="2" t="str">
        <f aca="false">IF(G50&lt;&gt;"","In prototype",IF(E50="Must have","Briefed","Backlog"))</f>
        <v>Briefed</v>
      </c>
    </row>
  </sheetData>
  <autoFilter ref="A1:H50"/>
  <conditionalFormatting sqref="E2:E50">
    <cfRule type="expression" priority="2" aboveAverage="0" equalAverage="0" bottom="0" percent="0" rank="0" text="" dxfId="7">
      <formula>$E2="Later phase"</formula>
    </cfRule>
  </conditionalFormatting>
  <conditionalFormatting sqref="H2:H50">
    <cfRule type="expression" priority="3" aboveAverage="0" equalAverage="0" bottom="0" percent="0" rank="0" text="" dxfId="8">
      <formula>$H2="In prototype"</formula>
    </cfRule>
    <cfRule type="expression" priority="4" aboveAverage="0" equalAverage="0" bottom="0" percent="0" rank="0" text="" dxfId="9">
      <formula>$H2="Briefed"</formula>
    </cfRule>
  </conditionalFormatting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7" min="6" style="0" width="11"/>
  </cols>
  <sheetData>
    <row r="1" customFormat="false" ht="14.25" hidden="false" customHeight="false" outlineLevel="0" collapsed="false">
      <c r="A1" s="1" t="s">
        <v>1</v>
      </c>
      <c r="B1" s="1" t="s">
        <v>172</v>
      </c>
      <c r="C1" s="1" t="s">
        <v>4</v>
      </c>
      <c r="D1" s="1" t="s">
        <v>5</v>
      </c>
      <c r="E1" s="1" t="s">
        <v>6</v>
      </c>
      <c r="F1" s="1" t="s">
        <v>173</v>
      </c>
      <c r="G1" s="1" t="s">
        <v>174</v>
      </c>
    </row>
    <row r="2" customFormat="false" ht="14.25" hidden="false" customHeight="false" outlineLevel="0" collapsed="false">
      <c r="A2" s="3" t="s">
        <v>9</v>
      </c>
      <c r="B2" s="2" t="n">
        <f aca="false">COUNTIF(Requirements!$B$2:$B$50,A2)</f>
        <v>6</v>
      </c>
      <c r="C2" s="2" t="s">
        <v>12</v>
      </c>
      <c r="D2" s="3" t="s">
        <v>9</v>
      </c>
      <c r="E2" s="2" t="n">
        <f aca="false">COUNTIFS(Requirements!$B$2:$B$50,$A2,Requirements!$H$2:$H$50,"In prototype")</f>
        <v>3</v>
      </c>
      <c r="F2" s="2" t="n">
        <f aca="false">COUNTIFS(Requirements!$B$2:$B$50,$A2,Requirements!$H$2:$H$50,"Briefed")</f>
        <v>3</v>
      </c>
      <c r="G2" s="2" t="n">
        <f aca="false">COUNTIFS(Requirements!$B$2:$B$50,$A2,Requirements!$H$2:$H$50,"Backlog")</f>
        <v>0</v>
      </c>
    </row>
    <row r="3" customFormat="false" ht="14.25" hidden="false" customHeight="false" outlineLevel="0" collapsed="false">
      <c r="A3" s="3" t="s">
        <v>31</v>
      </c>
      <c r="B3" s="2" t="n">
        <f aca="false">COUNTIF(Requirements!$B$2:$B$50,A3)</f>
        <v>5</v>
      </c>
      <c r="C3" s="2" t="s">
        <v>12</v>
      </c>
      <c r="D3" s="3" t="s">
        <v>31</v>
      </c>
      <c r="E3" s="2" t="n">
        <f aca="false">COUNTIFS(Requirements!$B$2:$B$50,$A3,Requirements!$H$2:$H$50,"In prototype")</f>
        <v>1</v>
      </c>
      <c r="F3" s="2" t="n">
        <f aca="false">COUNTIFS(Requirements!$B$2:$B$50,$A3,Requirements!$H$2:$H$50,"Briefed")</f>
        <v>4</v>
      </c>
      <c r="G3" s="2" t="n">
        <f aca="false">COUNTIFS(Requirements!$B$2:$B$50,$A3,Requirements!$H$2:$H$50,"Backlog")</f>
        <v>0</v>
      </c>
    </row>
    <row r="4" customFormat="false" ht="14.25" hidden="false" customHeight="false" outlineLevel="0" collapsed="false">
      <c r="A4" s="3" t="s">
        <v>47</v>
      </c>
      <c r="B4" s="2" t="n">
        <f aca="false">COUNTIF(Requirements!$B$2:$B$50,A4)</f>
        <v>4</v>
      </c>
      <c r="C4" s="2" t="s">
        <v>12</v>
      </c>
      <c r="D4" s="3" t="s">
        <v>50</v>
      </c>
      <c r="E4" s="2" t="n">
        <f aca="false">COUNTIFS(Requirements!$B$2:$B$50,$A4,Requirements!$H$2:$H$50,"In prototype")</f>
        <v>0</v>
      </c>
      <c r="F4" s="2" t="n">
        <f aca="false">COUNTIFS(Requirements!$B$2:$B$50,$A4,Requirements!$H$2:$H$50,"Briefed")</f>
        <v>4</v>
      </c>
      <c r="G4" s="2" t="n">
        <f aca="false">COUNTIFS(Requirements!$B$2:$B$50,$A4,Requirements!$H$2:$H$50,"Backlog")</f>
        <v>0</v>
      </c>
    </row>
    <row r="5" customFormat="false" ht="14.25" hidden="false" customHeight="false" outlineLevel="0" collapsed="false">
      <c r="A5" s="3" t="s">
        <v>61</v>
      </c>
      <c r="B5" s="2" t="n">
        <f aca="false">COUNTIF(Requirements!$B$2:$B$50,A5)</f>
        <v>4</v>
      </c>
      <c r="C5" s="2" t="s">
        <v>12</v>
      </c>
      <c r="D5" s="3" t="s">
        <v>50</v>
      </c>
      <c r="E5" s="2" t="n">
        <f aca="false">COUNTIFS(Requirements!$B$2:$B$50,$A5,Requirements!$H$2:$H$50,"In prototype")</f>
        <v>2</v>
      </c>
      <c r="F5" s="2" t="n">
        <f aca="false">COUNTIFS(Requirements!$B$2:$B$50,$A5,Requirements!$H$2:$H$50,"Briefed")</f>
        <v>2</v>
      </c>
      <c r="G5" s="2" t="n">
        <f aca="false">COUNTIFS(Requirements!$B$2:$B$50,$A5,Requirements!$H$2:$H$50,"Backlog")</f>
        <v>0</v>
      </c>
    </row>
    <row r="6" customFormat="false" ht="14.25" hidden="false" customHeight="false" outlineLevel="0" collapsed="false">
      <c r="A6" s="3" t="s">
        <v>74</v>
      </c>
      <c r="B6" s="2" t="n">
        <f aca="false">COUNTIF(Requirements!$B$2:$B$50,A6)</f>
        <v>5</v>
      </c>
      <c r="C6" s="2" t="s">
        <v>12</v>
      </c>
      <c r="D6" s="3" t="s">
        <v>18</v>
      </c>
      <c r="E6" s="2" t="n">
        <f aca="false">COUNTIFS(Requirements!$B$2:$B$50,$A6,Requirements!$H$2:$H$50,"In prototype")</f>
        <v>0</v>
      </c>
      <c r="F6" s="2" t="n">
        <f aca="false">COUNTIFS(Requirements!$B$2:$B$50,$A6,Requirements!$H$2:$H$50,"Briefed")</f>
        <v>5</v>
      </c>
      <c r="G6" s="2" t="n">
        <f aca="false">COUNTIFS(Requirements!$B$2:$B$50,$A6,Requirements!$H$2:$H$50,"Backlog")</f>
        <v>0</v>
      </c>
    </row>
    <row r="7" customFormat="false" ht="14.25" hidden="false" customHeight="false" outlineLevel="0" collapsed="false">
      <c r="A7" s="3" t="s">
        <v>90</v>
      </c>
      <c r="B7" s="2" t="n">
        <f aca="false">COUNTIF(Requirements!$B$2:$B$50,A7)</f>
        <v>4</v>
      </c>
      <c r="C7" s="2" t="s">
        <v>12</v>
      </c>
      <c r="D7" s="3" t="s">
        <v>93</v>
      </c>
      <c r="E7" s="2" t="n">
        <f aca="false">COUNTIFS(Requirements!$B$2:$B$50,$A7,Requirements!$H$2:$H$50,"In prototype")</f>
        <v>2</v>
      </c>
      <c r="F7" s="2" t="n">
        <f aca="false">COUNTIFS(Requirements!$B$2:$B$50,$A7,Requirements!$H$2:$H$50,"Briefed")</f>
        <v>2</v>
      </c>
      <c r="G7" s="2" t="n">
        <f aca="false">COUNTIFS(Requirements!$B$2:$B$50,$A7,Requirements!$H$2:$H$50,"Backlog")</f>
        <v>0</v>
      </c>
    </row>
    <row r="8" customFormat="false" ht="14.25" hidden="false" customHeight="false" outlineLevel="0" collapsed="false">
      <c r="A8" s="3" t="s">
        <v>104</v>
      </c>
      <c r="B8" s="2" t="n">
        <f aca="false">COUNTIF(Requirements!$B$2:$B$50,A8)</f>
        <v>4</v>
      </c>
      <c r="C8" s="2" t="s">
        <v>107</v>
      </c>
      <c r="D8" s="3"/>
      <c r="E8" s="2" t="n">
        <f aca="false">COUNTIFS(Requirements!$B$2:$B$50,$A8,Requirements!$H$2:$H$50,"In prototype")</f>
        <v>0</v>
      </c>
      <c r="F8" s="2" t="n">
        <f aca="false">COUNTIFS(Requirements!$B$2:$B$50,$A8,Requirements!$H$2:$H$50,"Briefed")</f>
        <v>0</v>
      </c>
      <c r="G8" s="2" t="n">
        <f aca="false">COUNTIFS(Requirements!$B$2:$B$50,$A8,Requirements!$H$2:$H$50,"Backlog")</f>
        <v>4</v>
      </c>
    </row>
    <row r="9" customFormat="false" ht="14.25" hidden="false" customHeight="false" outlineLevel="0" collapsed="false">
      <c r="A9" s="3" t="s">
        <v>118</v>
      </c>
      <c r="B9" s="2" t="n">
        <f aca="false">COUNTIF(Requirements!$B$2:$B$50,A9)</f>
        <v>4</v>
      </c>
      <c r="C9" s="2" t="s">
        <v>107</v>
      </c>
      <c r="D9" s="3"/>
      <c r="E9" s="2" t="n">
        <f aca="false">COUNTIFS(Requirements!$B$2:$B$50,$A9,Requirements!$H$2:$H$50,"In prototype")</f>
        <v>0</v>
      </c>
      <c r="F9" s="2" t="n">
        <f aca="false">COUNTIFS(Requirements!$B$2:$B$50,$A9,Requirements!$H$2:$H$50,"Briefed")</f>
        <v>0</v>
      </c>
      <c r="G9" s="2" t="n">
        <f aca="false">COUNTIFS(Requirements!$B$2:$B$50,$A9,Requirements!$H$2:$H$50,"Backlog")</f>
        <v>4</v>
      </c>
    </row>
    <row r="10" customFormat="false" ht="14.25" hidden="false" customHeight="false" outlineLevel="0" collapsed="false">
      <c r="A10" s="3" t="s">
        <v>131</v>
      </c>
      <c r="B10" s="2" t="n">
        <f aca="false">COUNTIF(Requirements!$B$2:$B$50,A10)</f>
        <v>4</v>
      </c>
      <c r="C10" s="2" t="s">
        <v>12</v>
      </c>
      <c r="D10" s="3" t="s">
        <v>131</v>
      </c>
      <c r="E10" s="2" t="n">
        <f aca="false">COUNTIFS(Requirements!$B$2:$B$50,$A10,Requirements!$H$2:$H$50,"In prototype")</f>
        <v>1</v>
      </c>
      <c r="F10" s="2" t="n">
        <f aca="false">COUNTIFS(Requirements!$B$2:$B$50,$A10,Requirements!$H$2:$H$50,"Briefed")</f>
        <v>3</v>
      </c>
      <c r="G10" s="2" t="n">
        <f aca="false">COUNTIFS(Requirements!$B$2:$B$50,$A10,Requirements!$H$2:$H$50,"Backlog")</f>
        <v>0</v>
      </c>
    </row>
    <row r="11" customFormat="false" ht="14.25" hidden="false" customHeight="false" outlineLevel="0" collapsed="false">
      <c r="A11" s="3" t="s">
        <v>144</v>
      </c>
      <c r="B11" s="2" t="n">
        <f aca="false">COUNTIF(Requirements!$B$2:$B$50,A11)</f>
        <v>4</v>
      </c>
      <c r="C11" s="2" t="s">
        <v>12</v>
      </c>
      <c r="D11" s="3" t="s">
        <v>144</v>
      </c>
      <c r="E11" s="2" t="n">
        <f aca="false">COUNTIFS(Requirements!$B$2:$B$50,$A11,Requirements!$H$2:$H$50,"In prototype")</f>
        <v>1</v>
      </c>
      <c r="F11" s="2" t="n">
        <f aca="false">COUNTIFS(Requirements!$B$2:$B$50,$A11,Requirements!$H$2:$H$50,"Briefed")</f>
        <v>3</v>
      </c>
      <c r="G11" s="2" t="n">
        <f aca="false">COUNTIFS(Requirements!$B$2:$B$50,$A11,Requirements!$H$2:$H$50,"Backlog")</f>
        <v>0</v>
      </c>
    </row>
    <row r="12" customFormat="false" ht="14.25" hidden="false" customHeight="false" outlineLevel="0" collapsed="false">
      <c r="A12" s="3" t="s">
        <v>157</v>
      </c>
      <c r="B12" s="2" t="n">
        <f aca="false">COUNTIF(Requirements!$B$2:$B$50,A12)</f>
        <v>3</v>
      </c>
      <c r="C12" s="2" t="s">
        <v>12</v>
      </c>
      <c r="D12" s="3" t="s">
        <v>157</v>
      </c>
      <c r="E12" s="2" t="n">
        <f aca="false">COUNTIFS(Requirements!$B$2:$B$50,$A12,Requirements!$H$2:$H$50,"In prototype")</f>
        <v>1</v>
      </c>
      <c r="F12" s="2" t="n">
        <f aca="false">COUNTIFS(Requirements!$B$2:$B$50,$A12,Requirements!$H$2:$H$50,"Briefed")</f>
        <v>2</v>
      </c>
      <c r="G12" s="2" t="n">
        <f aca="false">COUNTIFS(Requirements!$B$2:$B$50,$A12,Requirements!$H$2:$H$50,"Backlog")</f>
        <v>0</v>
      </c>
    </row>
    <row r="13" customFormat="false" ht="14.25" hidden="false" customHeight="false" outlineLevel="0" collapsed="false">
      <c r="A13" s="3" t="s">
        <v>102</v>
      </c>
      <c r="B13" s="2" t="n">
        <f aca="false">COUNTIF(Requirements!$B$2:$B$50,A13)</f>
        <v>2</v>
      </c>
      <c r="C13" s="2" t="s">
        <v>12</v>
      </c>
      <c r="D13" s="3" t="s">
        <v>102</v>
      </c>
      <c r="E13" s="2" t="n">
        <f aca="false">COUNTIFS(Requirements!$B$2:$B$50,$A13,Requirements!$H$2:$H$50,"In prototype")</f>
        <v>1</v>
      </c>
      <c r="F13" s="2" t="n">
        <f aca="false">COUNTIFS(Requirements!$B$2:$B$50,$A13,Requirements!$H$2:$H$50,"Briefed")</f>
        <v>1</v>
      </c>
      <c r="G13" s="2" t="n">
        <f aca="false">COUNTIFS(Requirements!$B$2:$B$50,$A13,Requirements!$H$2:$H$50,"Backlog")</f>
        <v>0</v>
      </c>
    </row>
    <row r="14" customFormat="false" ht="14.25" hidden="false" customHeight="false" outlineLevel="0" collapsed="false">
      <c r="A14" s="4" t="s">
        <v>175</v>
      </c>
      <c r="B14" s="5" t="n">
        <f aca="false">SUM(B2:B13)</f>
        <v>49</v>
      </c>
      <c r="C14" s="5" t="str">
        <f aca="false">COUNTIF(C2:C13,"Must have")&amp;" must have sections"</f>
        <v>10 must have sections</v>
      </c>
      <c r="D14" s="5"/>
      <c r="E14" s="5" t="n">
        <f aca="false">SUM(E2:E13)</f>
        <v>12</v>
      </c>
      <c r="F14" s="5" t="n">
        <f aca="false">SUM(F2:F13)</f>
        <v>29</v>
      </c>
      <c r="G14" s="5" t="n">
        <f aca="false">SUM(G2:G13)</f>
        <v>8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6" min="5" style="0" width="7"/>
    <col collapsed="false" customWidth="true" hidden="false" outlineLevel="0" max="7" min="7" style="0" width="13"/>
    <col collapsed="false" customWidth="true" hidden="false" outlineLevel="0" max="17" min="8" style="0" width="4.63"/>
  </cols>
  <sheetData>
    <row r="1" customFormat="false" ht="15" hidden="false" customHeight="true" outlineLevel="0" collapsed="false">
      <c r="A1" s="1" t="s">
        <v>176</v>
      </c>
      <c r="B1" s="1"/>
      <c r="C1" s="1"/>
      <c r="D1" s="1"/>
      <c r="E1" s="1"/>
      <c r="F1" s="1"/>
      <c r="G1" s="1"/>
      <c r="H1" s="1" t="s">
        <v>177</v>
      </c>
      <c r="I1" s="1"/>
      <c r="J1" s="1"/>
      <c r="K1" s="1"/>
      <c r="L1" s="1"/>
      <c r="M1" s="1" t="s">
        <v>178</v>
      </c>
      <c r="N1" s="1"/>
      <c r="O1" s="1"/>
      <c r="P1" s="1"/>
      <c r="Q1" s="1"/>
    </row>
    <row r="2" customFormat="false" ht="14.25" hidden="false" customHeight="false" outlineLevel="0" collapsed="false">
      <c r="A2" s="1" t="s">
        <v>0</v>
      </c>
      <c r="B2" s="1" t="s">
        <v>179</v>
      </c>
      <c r="C2" s="1" t="s">
        <v>180</v>
      </c>
      <c r="D2" s="1" t="s">
        <v>181</v>
      </c>
      <c r="E2" s="1" t="s">
        <v>182</v>
      </c>
      <c r="F2" s="1" t="s">
        <v>183</v>
      </c>
      <c r="G2" s="1" t="s">
        <v>7</v>
      </c>
      <c r="H2" s="1" t="n">
        <v>1</v>
      </c>
      <c r="I2" s="1" t="n">
        <v>2</v>
      </c>
      <c r="J2" s="1" t="n">
        <v>3</v>
      </c>
      <c r="K2" s="1" t="n">
        <v>4</v>
      </c>
      <c r="L2" s="1" t="n">
        <v>5</v>
      </c>
      <c r="M2" s="1" t="n">
        <v>6</v>
      </c>
      <c r="N2" s="1" t="n">
        <v>7</v>
      </c>
      <c r="O2" s="1" t="n">
        <v>8</v>
      </c>
      <c r="P2" s="1" t="n">
        <v>9</v>
      </c>
      <c r="Q2" s="1" t="n">
        <v>10</v>
      </c>
    </row>
    <row r="3" customFormat="false" ht="14.25" hidden="false" customHeight="false" outlineLevel="0" collapsed="false">
      <c r="A3" s="2" t="s">
        <v>184</v>
      </c>
      <c r="B3" s="3" t="s">
        <v>185</v>
      </c>
      <c r="C3" s="3" t="s">
        <v>186</v>
      </c>
      <c r="D3" s="2" t="s">
        <v>187</v>
      </c>
      <c r="E3" s="2" t="n">
        <v>1</v>
      </c>
      <c r="F3" s="2" t="n">
        <v>1</v>
      </c>
      <c r="G3" s="2" t="s">
        <v>188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4.25" hidden="false" customHeight="false" outlineLevel="0" collapsed="false">
      <c r="A4" s="2" t="s">
        <v>189</v>
      </c>
      <c r="B4" s="3" t="s">
        <v>190</v>
      </c>
      <c r="C4" s="3" t="s">
        <v>191</v>
      </c>
      <c r="D4" s="2" t="s">
        <v>187</v>
      </c>
      <c r="E4" s="2" t="n">
        <v>2</v>
      </c>
      <c r="F4" s="2" t="n">
        <v>2</v>
      </c>
      <c r="G4" s="2" t="s">
        <v>188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customFormat="false" ht="14.25" hidden="false" customHeight="false" outlineLevel="0" collapsed="false">
      <c r="A5" s="2" t="s">
        <v>192</v>
      </c>
      <c r="B5" s="3" t="s">
        <v>193</v>
      </c>
      <c r="C5" s="3" t="s">
        <v>194</v>
      </c>
      <c r="D5" s="2" t="s">
        <v>187</v>
      </c>
      <c r="E5" s="2" t="n">
        <v>2</v>
      </c>
      <c r="F5" s="2" t="n">
        <v>2</v>
      </c>
      <c r="G5" s="2" t="s">
        <v>188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14.25" hidden="false" customHeight="false" outlineLevel="0" collapsed="false">
      <c r="A6" s="2" t="s">
        <v>195</v>
      </c>
      <c r="B6" s="3" t="s">
        <v>196</v>
      </c>
      <c r="C6" s="3" t="s">
        <v>186</v>
      </c>
      <c r="D6" s="2" t="s">
        <v>197</v>
      </c>
      <c r="E6" s="2" t="n">
        <v>3</v>
      </c>
      <c r="F6" s="2" t="n">
        <v>3</v>
      </c>
      <c r="G6" s="2" t="s">
        <v>188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customFormat="false" ht="14.25" hidden="false" customHeight="false" outlineLevel="0" collapsed="false">
      <c r="A7" s="2" t="s">
        <v>198</v>
      </c>
      <c r="B7" s="3" t="s">
        <v>199</v>
      </c>
      <c r="C7" s="3" t="s">
        <v>191</v>
      </c>
      <c r="D7" s="2" t="s">
        <v>197</v>
      </c>
      <c r="E7" s="2" t="n">
        <v>3</v>
      </c>
      <c r="F7" s="2" t="n">
        <v>6</v>
      </c>
      <c r="G7" s="2" t="s">
        <v>188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customFormat="false" ht="14.25" hidden="false" customHeight="false" outlineLevel="0" collapsed="false">
      <c r="A8" s="2" t="s">
        <v>200</v>
      </c>
      <c r="B8" s="3" t="s">
        <v>201</v>
      </c>
      <c r="C8" s="3" t="s">
        <v>186</v>
      </c>
      <c r="D8" s="2" t="s">
        <v>197</v>
      </c>
      <c r="E8" s="2" t="n">
        <v>6</v>
      </c>
      <c r="F8" s="2" t="n">
        <v>7</v>
      </c>
      <c r="G8" s="2" t="s">
        <v>188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 customFormat="false" ht="14.25" hidden="false" customHeight="false" outlineLevel="0" collapsed="false">
      <c r="A9" s="2" t="s">
        <v>202</v>
      </c>
      <c r="B9" s="3" t="s">
        <v>203</v>
      </c>
      <c r="C9" s="3" t="s">
        <v>186</v>
      </c>
      <c r="D9" s="2" t="s">
        <v>204</v>
      </c>
      <c r="E9" s="2" t="n">
        <v>7</v>
      </c>
      <c r="F9" s="2" t="n">
        <v>7</v>
      </c>
      <c r="G9" s="2" t="s">
        <v>188</v>
      </c>
      <c r="H9" s="3"/>
      <c r="I9" s="3"/>
      <c r="J9" s="3"/>
      <c r="K9" s="3"/>
      <c r="L9" s="3"/>
      <c r="M9" s="3"/>
      <c r="N9" s="3"/>
      <c r="O9" s="3"/>
      <c r="P9" s="3"/>
      <c r="Q9" s="3"/>
    </row>
    <row r="10" customFormat="false" ht="14.25" hidden="false" customHeight="false" outlineLevel="0" collapsed="false">
      <c r="A10" s="2" t="s">
        <v>205</v>
      </c>
      <c r="B10" s="3" t="s">
        <v>206</v>
      </c>
      <c r="C10" s="3" t="s">
        <v>207</v>
      </c>
      <c r="D10" s="2" t="s">
        <v>204</v>
      </c>
      <c r="E10" s="2" t="n">
        <v>7</v>
      </c>
      <c r="F10" s="2" t="n">
        <v>9</v>
      </c>
      <c r="G10" s="2" t="s">
        <v>188</v>
      </c>
      <c r="H10" s="3"/>
      <c r="I10" s="3"/>
      <c r="J10" s="3"/>
      <c r="K10" s="3"/>
      <c r="L10" s="3"/>
      <c r="M10" s="3"/>
      <c r="N10" s="3"/>
      <c r="O10" s="3"/>
      <c r="P10" s="3"/>
      <c r="Q10" s="3"/>
    </row>
    <row r="11" customFormat="false" ht="14.25" hidden="false" customHeight="false" outlineLevel="0" collapsed="false">
      <c r="A11" s="2" t="s">
        <v>208</v>
      </c>
      <c r="B11" s="3" t="s">
        <v>209</v>
      </c>
      <c r="C11" s="3" t="s">
        <v>191</v>
      </c>
      <c r="D11" s="2" t="s">
        <v>210</v>
      </c>
      <c r="E11" s="2" t="n">
        <v>9</v>
      </c>
      <c r="F11" s="2" t="n">
        <v>9</v>
      </c>
      <c r="G11" s="2" t="s">
        <v>188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customFormat="false" ht="14.25" hidden="false" customHeight="false" outlineLevel="0" collapsed="false">
      <c r="A12" s="2" t="s">
        <v>211</v>
      </c>
      <c r="B12" s="3" t="s">
        <v>212</v>
      </c>
      <c r="C12" s="3" t="s">
        <v>207</v>
      </c>
      <c r="D12" s="2" t="s">
        <v>210</v>
      </c>
      <c r="E12" s="2" t="n">
        <v>9</v>
      </c>
      <c r="F12" s="2" t="n">
        <v>10</v>
      </c>
      <c r="G12" s="2" t="s">
        <v>213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customFormat="false" ht="14.25" hidden="false" customHeight="false" outlineLevel="0" collapsed="false">
      <c r="A13" s="2" t="s">
        <v>214</v>
      </c>
      <c r="B13" s="3" t="s">
        <v>215</v>
      </c>
      <c r="C13" s="3" t="s">
        <v>186</v>
      </c>
      <c r="D13" s="2" t="s">
        <v>210</v>
      </c>
      <c r="E13" s="2" t="n">
        <v>10</v>
      </c>
      <c r="F13" s="2" t="n">
        <v>10</v>
      </c>
      <c r="G13" s="2" t="s">
        <v>216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5" customFormat="false" ht="14.25" hidden="false" customHeight="false" outlineLevel="0" collapsed="false">
      <c r="B15" s="6" t="s">
        <v>217</v>
      </c>
      <c r="C15" s="7" t="str">
        <f aca="false">COUNTIF(G3:G13,"Done")&amp;" of "&amp;COUNTA(G3:G13)</f>
        <v>9 of 11</v>
      </c>
    </row>
    <row r="16" customFormat="false" ht="14.25" hidden="false" customHeight="false" outlineLevel="0" collapsed="false">
      <c r="B16" s="6" t="s">
        <v>218</v>
      </c>
      <c r="C16" s="8" t="n">
        <f aca="false">MAX(F3:F13)</f>
        <v>10</v>
      </c>
    </row>
  </sheetData>
  <mergeCells count="3">
    <mergeCell ref="A1:G1"/>
    <mergeCell ref="H1:L1"/>
    <mergeCell ref="M1:Q1"/>
  </mergeCells>
  <conditionalFormatting sqref="H3:Q13">
    <cfRule type="expression" priority="2" aboveAverage="0" equalAverage="0" bottom="0" percent="0" rank="0" text="" dxfId="10">
      <formula>AND(H$2&gt;=$E3,H$2&lt;=$F3,$G3="Done")</formula>
    </cfRule>
    <cfRule type="expression" priority="3" aboveAverage="0" equalAverage="0" bottom="0" percent="0" rank="0" text="" dxfId="11">
      <formula>AND(H$2&gt;=$E3,H$2&lt;=$F3,$G3="In progress")</formula>
    </cfRule>
    <cfRule type="expression" priority="4" aboveAverage="0" equalAverage="0" bottom="0" percent="0" rank="0" text="" dxfId="12">
      <formula>AND(H$2&gt;=$E3,H$2&lt;=$F3,$G3="To do")</formula>
    </cfRule>
  </conditionalFormatting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4" min="1" style="0" width="40"/>
  </cols>
  <sheetData>
    <row r="1" customFormat="false" ht="14.25" hidden="false" customHeight="false" outlineLevel="0" collapsed="false">
      <c r="A1" s="1" t="s">
        <v>174</v>
      </c>
      <c r="B1" s="1" t="s">
        <v>216</v>
      </c>
      <c r="C1" s="1" t="s">
        <v>213</v>
      </c>
      <c r="D1" s="1" t="s">
        <v>188</v>
      </c>
    </row>
    <row r="2" customFormat="false" ht="14.25" hidden="false" customHeight="false" outlineLevel="0" collapsed="false">
      <c r="A2" s="3" t="s">
        <v>219</v>
      </c>
      <c r="B2" s="3" t="s">
        <v>220</v>
      </c>
      <c r="C2" s="3" t="s">
        <v>221</v>
      </c>
      <c r="D2" s="3" t="s">
        <v>190</v>
      </c>
    </row>
    <row r="3" customFormat="false" ht="14.25" hidden="false" customHeight="false" outlineLevel="0" collapsed="false">
      <c r="A3" s="3" t="s">
        <v>222</v>
      </c>
      <c r="B3" s="3" t="s">
        <v>223</v>
      </c>
      <c r="C3" s="3"/>
      <c r="D3" s="3" t="s">
        <v>224</v>
      </c>
    </row>
    <row r="4" customFormat="false" ht="14.25" hidden="false" customHeight="false" outlineLevel="0" collapsed="false">
      <c r="A4" s="3"/>
      <c r="B4" s="3" t="s">
        <v>215</v>
      </c>
      <c r="C4" s="3"/>
      <c r="D4" s="3" t="s">
        <v>196</v>
      </c>
    </row>
    <row r="5" customFormat="false" ht="14.25" hidden="false" customHeight="false" outlineLevel="0" collapsed="false">
      <c r="A5" s="3"/>
      <c r="B5" s="3"/>
      <c r="C5" s="3"/>
      <c r="D5" s="3" t="s">
        <v>225</v>
      </c>
    </row>
    <row r="6" customFormat="false" ht="14.25" hidden="false" customHeight="false" outlineLevel="0" collapsed="false">
      <c r="A6" s="3"/>
      <c r="B6" s="3"/>
      <c r="C6" s="3"/>
      <c r="D6" s="3" t="s">
        <v>201</v>
      </c>
    </row>
    <row r="7" customFormat="false" ht="14.25" hidden="false" customHeight="false" outlineLevel="0" collapsed="false">
      <c r="A7" s="3"/>
      <c r="B7" s="3"/>
      <c r="C7" s="3"/>
      <c r="D7" s="3" t="s">
        <v>203</v>
      </c>
    </row>
    <row r="8" customFormat="false" ht="14.25" hidden="false" customHeight="false" outlineLevel="0" collapsed="false">
      <c r="A8" s="3"/>
      <c r="B8" s="3"/>
      <c r="C8" s="3"/>
      <c r="D8" s="3" t="s">
        <v>206</v>
      </c>
    </row>
    <row r="9" customFormat="false" ht="14.25" hidden="false" customHeight="false" outlineLevel="0" collapsed="false">
      <c r="A9" s="3"/>
      <c r="B9" s="3"/>
      <c r="C9" s="3"/>
      <c r="D9" s="3" t="s">
        <v>209</v>
      </c>
    </row>
    <row r="11" customFormat="false" ht="14.25" hidden="false" customHeight="false" outlineLevel="0" collapsed="false">
      <c r="A11" s="6" t="s">
        <v>226</v>
      </c>
    </row>
    <row r="12" customFormat="false" ht="14.25" hidden="false" customHeight="false" outlineLevel="0" collapsed="false">
      <c r="A12" s="8" t="n">
        <f aca="false">COUNTA(A2:A9)</f>
        <v>2</v>
      </c>
      <c r="B12" s="8" t="n">
        <f aca="false">COUNTA(B2:B9)</f>
        <v>3</v>
      </c>
      <c r="C12" s="8" t="n">
        <f aca="false">COUNTA(C2:C9)</f>
        <v>1</v>
      </c>
      <c r="D12" s="8" t="n">
        <f aca="false">COUNTA(D2:D9)</f>
        <v>8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2026-10-08T00:43:52Z</dcterms:created>
  <dc:creator>Ade Adelaja</dc:creator>
  <dc:description>Cleaned file: club name and individual names removed.</dc:description>
  <dc:language>en-US</dc:language>
  <cp:lastModifiedBy>adelaja adesegun</cp:lastModifiedBy>
  <dcterms:modified xsi:type="dcterms:W3CDTF">2026-10-14T10:29:35Z</dcterms:modified>
  <cp:revision>0</cp:revision>
  <dc:subject/>
  <dc:title>Football club website: requirements and plan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