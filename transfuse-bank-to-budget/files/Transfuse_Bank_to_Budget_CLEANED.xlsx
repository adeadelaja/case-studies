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Budget" sheetId="2" state="visible" r:id="rId4"/>
    <sheet name="Transactions" sheetId="3" state="visible" r:id="rId5"/>
    <sheet name="Reconciliation" sheetId="4" state="visible" r:id="rId6"/>
    <sheet name="Category Rules" sheetId="5" state="visible" r:id="rId7"/>
    <sheet name="Check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<sst xmlns="http://schemas.openxmlformats.org/spreadsheetml/2006/main" count="340" uniqueCount="220">
  <si>
    <t xml:space="preserve">Bank statement to budget: cleaned rebuild</t>
  </si>
  <si>
    <t xml:space="preserve">Cleaned file: real names, figures and records replaced with synthetic data of the same structure.</t>
  </si>
  <si>
    <t xml:space="preserve">The original job</t>
  </si>
  <si>
    <t xml:space="preserve">An accountancy team needed to budget from a client's business current account, but the only record was five monthly paper statements: 13 scanned pages covering 21 May to 11 October 2022. There was no export and no automation. I transcribed all 183 transactions into Excel, gave every statement period a running balance and a total, and reconciled each period to the closing balance printed on the statement.</t>
  </si>
  <si>
    <t xml:space="preserve">This file</t>
  </si>
  <si>
    <t xml:space="preserve">Synthetic transactions in the same five period structure (183 rows, same mix of card payments, transfers, bill payments, direct credits and bank charges). The category and budget tabs show how the structured data was used to budget, rebuilt with formulas so any figure can be traced to its rows.</t>
  </si>
  <si>
    <t xml:space="preserve">Tabs</t>
  </si>
  <si>
    <t xml:space="preserve">•  Transactions: one row per transaction. Running balance, statement period and category are formulas.</t>
  </si>
  <si>
    <t xml:space="preserve">•  Reconciliation: each period's opening balance, money out, money in and computed closing balance, checked against the closing balance typed from the statement. Every period must read Reconciled.</t>
  </si>
  <si>
    <t xml:space="preserve">•  Category Rules: keyword to category rules. The category formula searches each description for every keyword and takes the matching category, so a new rule recategorises the whole ledger at once.</t>
  </si>
  <si>
    <t xml:space="preserve">•  Budget: spend by category and period with SUMIFS, the monthly average, a proposed monthly budget (input), and the variance for the period chosen in the selector.</t>
  </si>
  <si>
    <t xml:space="preserve">•  Checks: transaction count, uncategorised rows, reconciliation status and a tie out between the ledger and the budget totals.</t>
  </si>
  <si>
    <t xml:space="preserve">Inputs</t>
  </si>
  <si>
    <t xml:space="preserve">Yellow cells with blue text are inputs: the opening balance, the statement closing balances, the rules and the proposed budgets. Everything else is calculated.</t>
  </si>
  <si>
    <t xml:space="preserve">Budget by category</t>
  </si>
  <si>
    <t xml:space="preserve">Actuals from the transactions. Proposed budget is an input; variance follows the period selector.</t>
  </si>
  <si>
    <t xml:space="preserve">Selected period</t>
  </si>
  <si>
    <t xml:space="preserve">P4</t>
  </si>
  <si>
    <t xml:space="preserve">Category</t>
  </si>
  <si>
    <t xml:space="preserve">P1</t>
  </si>
  <si>
    <t xml:space="preserve">P2</t>
  </si>
  <si>
    <t xml:space="preserve">P3</t>
  </si>
  <si>
    <t xml:space="preserve">P5</t>
  </si>
  <si>
    <t xml:space="preserve">Total</t>
  </si>
  <si>
    <t xml:space="preserve">Monthly average</t>
  </si>
  <si>
    <t xml:space="preserve">Share of spend</t>
  </si>
  <si>
    <t xml:space="preserve">Proposed monthly budget</t>
  </si>
  <si>
    <t xml:space="preserve">Selected period actual</t>
  </si>
  <si>
    <t xml:space="preserve">Variance vs budget</t>
  </si>
  <si>
    <t xml:space="preserve">Rank</t>
  </si>
  <si>
    <t xml:space="preserve">Spending</t>
  </si>
  <si>
    <t xml:space="preserve">Transfers out</t>
  </si>
  <si>
    <t xml:space="preserve">Supplier payments</t>
  </si>
  <si>
    <t xml:space="preserve">Fuel and vehicle</t>
  </si>
  <si>
    <t xml:space="preserve">Stock and supplies</t>
  </si>
  <si>
    <t xml:space="preserve">Cash withdrawals</t>
  </si>
  <si>
    <t xml:space="preserve">Bank charges</t>
  </si>
  <si>
    <t xml:space="preserve">Subscriptions and utilities</t>
  </si>
  <si>
    <t xml:space="preserve">Parking</t>
  </si>
  <si>
    <t xml:space="preserve">Donations</t>
  </si>
  <si>
    <t xml:space="preserve">Meals and subsistence</t>
  </si>
  <si>
    <t xml:space="preserve">Health and welfare</t>
  </si>
  <si>
    <t xml:space="preserve">Office and equipment</t>
  </si>
  <si>
    <t xml:space="preserve">Total spending</t>
  </si>
  <si>
    <t xml:space="preserve">Income</t>
  </si>
  <si>
    <t xml:space="preserve">Income: client receipts</t>
  </si>
  <si>
    <t xml:space="preserve">Income: transfers in</t>
  </si>
  <si>
    <t xml:space="preserve">Total income</t>
  </si>
  <si>
    <t xml:space="preserve">Net cash flow</t>
  </si>
  <si>
    <t xml:space="preserve">P5 is a part month (23 Sep to 11 Oct, the final statement), so the monthly average uses P1 to P4.</t>
  </si>
  <si>
    <t xml:space="preserve">Proposed monthly budget: the P1 to P4 average rounded up to the nearest £10, as a starting point to edit.</t>
  </si>
  <si>
    <t xml:space="preserve">Transactions</t>
  </si>
  <si>
    <t xml:space="preserve">Running balance, period and category are calculated. Synthetic data.</t>
  </si>
  <si>
    <t xml:space="preserve">Opening balance (from statement 1)</t>
  </si>
  <si>
    <t xml:space="preserve">Period</t>
  </si>
  <si>
    <t xml:space="preserve">Date</t>
  </si>
  <si>
    <t xml:space="preserve">Description</t>
  </si>
  <si>
    <t xml:space="preserve">Money out (£)</t>
  </si>
  <si>
    <t xml:space="preserve">Money in (£)</t>
  </si>
  <si>
    <t xml:space="preserve">Balance (£)</t>
  </si>
  <si>
    <t xml:space="preserve">Month</t>
  </si>
  <si>
    <t xml:space="preserve">Card payment to Wholesale Club 910 on 21 May</t>
  </si>
  <si>
    <t xml:space="preserve">Direct credit from Client B Ltd</t>
  </si>
  <si>
    <t xml:space="preserve">Card payment to Charity Shop 545 on 22 May</t>
  </si>
  <si>
    <t xml:space="preserve">Internet banking transfer to savings account</t>
  </si>
  <si>
    <t xml:space="preserve">Card payment to Hardware Store on 22 May</t>
  </si>
  <si>
    <t xml:space="preserve">Card payment to High Street Cafe on 23 May</t>
  </si>
  <si>
    <t xml:space="preserve">Internet banking transfer from savings account</t>
  </si>
  <si>
    <t xml:space="preserve">Card payment to Fuel Station 997 on 24 May</t>
  </si>
  <si>
    <t xml:space="preserve">Card payment to Stationers Ltd on 29 May</t>
  </si>
  <si>
    <t xml:space="preserve">Card payment to Pharmacy 827 on 29 May</t>
  </si>
  <si>
    <t xml:space="preserve">Direct debit to Telecom Co</t>
  </si>
  <si>
    <t xml:space="preserve">Card payment to Charity Shop 595 on 29 May</t>
  </si>
  <si>
    <t xml:space="preserve">Card payment to Charity Shop 141 on 30 May</t>
  </si>
  <si>
    <t xml:space="preserve">Card payment to Wholesale Club 683 on 01 Jun</t>
  </si>
  <si>
    <t xml:space="preserve">Card payment to Cash and Carry 923 on 01 Jun</t>
  </si>
  <si>
    <t xml:space="preserve">Card payment to Garage Services on 04 Jun</t>
  </si>
  <si>
    <t xml:space="preserve">Card payment to Fuel Station 827 on 03 Jun</t>
  </si>
  <si>
    <t xml:space="preserve">Card payment to Fuel Station 854 on 03 Jun</t>
  </si>
  <si>
    <t xml:space="preserve">Card payment to City Car Park on 03 Jun</t>
  </si>
  <si>
    <t xml:space="preserve">Commission charges for the period</t>
  </si>
  <si>
    <t xml:space="preserve">Card payment to Charity Shop 632 on 05 Jun</t>
  </si>
  <si>
    <t xml:space="preserve">Card payment to High Street Cafe on 05 Jun</t>
  </si>
  <si>
    <t xml:space="preserve">Card payment to High Street Cafe on 08 Jun</t>
  </si>
  <si>
    <t xml:space="preserve">Card payment to Charity Shop 366 on 11 Jun</t>
  </si>
  <si>
    <t xml:space="preserve">Card payment to City Car Park on 11 Jun</t>
  </si>
  <si>
    <t xml:space="preserve">Card payment to Fuel Station 631 on 13 Jun</t>
  </si>
  <si>
    <t xml:space="preserve">Card payment to Fuel Station 743 on 14 Jun</t>
  </si>
  <si>
    <t xml:space="preserve">Card payment to Corner Grocer on 13 Jun</t>
  </si>
  <si>
    <t xml:space="preserve">Card payment to Wholesale Club 831 on 14 Jun</t>
  </si>
  <si>
    <t xml:space="preserve">Card payment to Fuel Station 744 on 16 Jun</t>
  </si>
  <si>
    <t xml:space="preserve">Card payment to Fuel Station 316 on 15 Jun</t>
  </si>
  <si>
    <t xml:space="preserve">Card payment to Wholesale Club 926 on 19 Jun</t>
  </si>
  <si>
    <t xml:space="preserve">Cash machine withdrawal on 19 Jun</t>
  </si>
  <si>
    <t xml:space="preserve">Card payment to Hardware Store on 20 Jun</t>
  </si>
  <si>
    <t xml:space="preserve">Card payment to Fuel Station 925 on 22 Jun</t>
  </si>
  <si>
    <t xml:space="preserve">Card payment to Wholesale Club 767 on 23 Jun</t>
  </si>
  <si>
    <t xml:space="preserve">Card payment to Charity Shop 631 on 27 Jun</t>
  </si>
  <si>
    <t xml:space="preserve">Card payment to Fuel Station 356 on 30 Jun</t>
  </si>
  <si>
    <t xml:space="preserve">Card payment to Pharmacy 629 on 01 Jul</t>
  </si>
  <si>
    <t xml:space="preserve">Cash machine withdrawal on 30 Jun</t>
  </si>
  <si>
    <t xml:space="preserve">Card payment to High Street Cafe on 04 Jul</t>
  </si>
  <si>
    <t xml:space="preserve">Card payment to Fuel Station 178 on 06 Jul</t>
  </si>
  <si>
    <t xml:space="preserve">Card payment to Charity Shop 895 on 06 Jul</t>
  </si>
  <si>
    <t xml:space="preserve">Card payment to Fuel Station 282 on 08 Jul</t>
  </si>
  <si>
    <t xml:space="preserve">Card payment to Cash and Carry 591 on 09 Jul</t>
  </si>
  <si>
    <t xml:space="preserve">Card payment to High Street Cafe on 13 Jul</t>
  </si>
  <si>
    <t xml:space="preserve">Card payment to Charity Shop 784 on 13 Jul</t>
  </si>
  <si>
    <t xml:space="preserve">On line banking bill payment to Supplier A</t>
  </si>
  <si>
    <t xml:space="preserve">Card payment to Hardware Store on 12 Jul</t>
  </si>
  <si>
    <t xml:space="preserve">Card payment to Fuel Station 942 on 14 Jul</t>
  </si>
  <si>
    <t xml:space="preserve">Card payment to Fuel Station 454 on 13 Jul</t>
  </si>
  <si>
    <t xml:space="preserve">Card payment to Wholesale Club 797 on 14 Jul</t>
  </si>
  <si>
    <t xml:space="preserve">Card payment to Cash and Carry 220 on 13 Jul</t>
  </si>
  <si>
    <t xml:space="preserve">Card payment to Fuel Station 348 on 17 Jul</t>
  </si>
  <si>
    <t xml:space="preserve">Card payment to Charity Shop 295 on 17 Jul</t>
  </si>
  <si>
    <t xml:space="preserve">Card payment to Fuel Station 845 on 19 Jul</t>
  </si>
  <si>
    <t xml:space="preserve">Card payment to Wholesale Club 311 on 20 Jul</t>
  </si>
  <si>
    <t xml:space="preserve">Card payment to Corner Grocer on 19 Jul</t>
  </si>
  <si>
    <t xml:space="preserve">Card payment to High Street Cafe on 22 Jul</t>
  </si>
  <si>
    <t xml:space="preserve">Card payment to Cash and Carry 731 on 22 Jul</t>
  </si>
  <si>
    <t xml:space="preserve">Card payment to Wholesale Club 133 on 22 Jul</t>
  </si>
  <si>
    <t xml:space="preserve">Direct credit from Client C Ltd</t>
  </si>
  <si>
    <t xml:space="preserve">Cash machine withdrawal on 25 Jul</t>
  </si>
  <si>
    <t xml:space="preserve">Card payment to Garage Services on 25 Jul</t>
  </si>
  <si>
    <t xml:space="preserve">Card payment to Cash and Carry 196 on 29 Jul</t>
  </si>
  <si>
    <t xml:space="preserve">Card payment to Wholesale Club 912 on 29 Jul</t>
  </si>
  <si>
    <t xml:space="preserve">Card payment to Cash and Carry 189 on 31 Jul</t>
  </si>
  <si>
    <t xml:space="preserve">Card payment to Cash and Carry 851 on 30 Jul</t>
  </si>
  <si>
    <t xml:space="preserve">Card payment to Cash and Carry 915 on 03 Aug</t>
  </si>
  <si>
    <t xml:space="preserve">Card payment to Cash and Carry 840 on 06 Aug</t>
  </si>
  <si>
    <t xml:space="preserve">Card payment to Corner Grocer on 09 Aug</t>
  </si>
  <si>
    <t xml:space="preserve">Card payment to Charity Shop 952 on 10 Aug</t>
  </si>
  <si>
    <t xml:space="preserve">Card payment to Charity Shop 312 on 10 Aug</t>
  </si>
  <si>
    <t xml:space="preserve">Card payment to Wholesale Club 611 on 11 Aug</t>
  </si>
  <si>
    <t xml:space="preserve">Card payment to Fuel Station 974 on 13 Aug</t>
  </si>
  <si>
    <t xml:space="preserve">Card payment to Charity Shop 590 on 14 Aug</t>
  </si>
  <si>
    <t xml:space="preserve">Card payment to Fuel Station 683 on 13 Aug</t>
  </si>
  <si>
    <t xml:space="preserve">Card payment to Pharmacy 541 on 17 Aug</t>
  </si>
  <si>
    <t xml:space="preserve">Card payment to Wholesale Club 103 on 16 Aug</t>
  </si>
  <si>
    <t xml:space="preserve">Card payment to Wholesale Club 310 on 19 Aug</t>
  </si>
  <si>
    <t xml:space="preserve">Card payment to Fuel Station 432 on 21 Aug</t>
  </si>
  <si>
    <t xml:space="preserve">Card payment to Corner Grocer on 22 Aug</t>
  </si>
  <si>
    <t xml:space="preserve">Card payment to High Street Cafe on 26 Aug</t>
  </si>
  <si>
    <t xml:space="preserve">Card payment to Corner Grocer on 24 Aug</t>
  </si>
  <si>
    <t xml:space="preserve">Card payment to Fuel Station 846 on 26 Aug</t>
  </si>
  <si>
    <t xml:space="preserve">Card payment to High Street Cafe on 29 Aug</t>
  </si>
  <si>
    <t xml:space="preserve">Card payment to High Street Cafe on 30 Aug</t>
  </si>
  <si>
    <t xml:space="preserve">Card payment to City Car Park on 01 Sep</t>
  </si>
  <si>
    <t xml:space="preserve">Card payment to High Street Cafe on 05 Sep</t>
  </si>
  <si>
    <t xml:space="preserve">Cash machine withdrawal on 07 Sep</t>
  </si>
  <si>
    <t xml:space="preserve">Card payment to Cash and Carry 258 on 09 Sep</t>
  </si>
  <si>
    <t xml:space="preserve">Card payment to Fuel Station 332 on 10 Sep</t>
  </si>
  <si>
    <t xml:space="preserve">Card payment to Corner Grocer on 09 Sep</t>
  </si>
  <si>
    <t xml:space="preserve">Card payment to Fuel Station 183 on 16 Sep</t>
  </si>
  <si>
    <t xml:space="preserve">Card payment to City Car Park on 16 Sep</t>
  </si>
  <si>
    <t xml:space="preserve">Cash machine withdrawal on 19 Sep</t>
  </si>
  <si>
    <t xml:space="preserve">Card payment to Stationers Ltd on 17 Sep</t>
  </si>
  <si>
    <t xml:space="preserve">Card payment to Fuel Station 362 on 21 Sep</t>
  </si>
  <si>
    <t xml:space="preserve">Card payment to Fuel Station 888 on 25 Sep</t>
  </si>
  <si>
    <t xml:space="preserve">Card payment to City Car Park on 25 Sep</t>
  </si>
  <si>
    <t xml:space="preserve">Card payment to Wholesale Club 499 on 26 Sep</t>
  </si>
  <si>
    <t xml:space="preserve">Card payment to Wholesale Club 476 on 28 Sep</t>
  </si>
  <si>
    <t xml:space="preserve">Card payment to Wholesale Club 362 on 28 Sep</t>
  </si>
  <si>
    <t xml:space="preserve">Cash machine withdrawal on 01 Oct</t>
  </si>
  <si>
    <t xml:space="preserve">Card payment to Cash and Carry 891 on 01 Oct</t>
  </si>
  <si>
    <t xml:space="preserve">Card payment to Hardware Store on 05 Oct</t>
  </si>
  <si>
    <t xml:space="preserve">Card payment to Charity Shop 398 on 08 Oct</t>
  </si>
  <si>
    <t xml:space="preserve">Card payment to Wholesale Club 947 on 09 Oct</t>
  </si>
  <si>
    <t xml:space="preserve">Card payment to Hardware Store on 09 Oct</t>
  </si>
  <si>
    <t xml:space="preserve">Card payment to Wholesale Club 863 on 11 Oct</t>
  </si>
  <si>
    <t xml:space="preserve">Card payment to Cash and Carry 110 on 10 Oct</t>
  </si>
  <si>
    <t xml:space="preserve">Card payment to Charity Shop 475 on 09 Oct</t>
  </si>
  <si>
    <t xml:space="preserve">Statement reconciliation</t>
  </si>
  <si>
    <t xml:space="preserve">Each period's computed closing balance must equal the balance printed on the statement.</t>
  </si>
  <si>
    <t xml:space="preserve">From</t>
  </si>
  <si>
    <t xml:space="preserve">To</t>
  </si>
  <si>
    <t xml:space="preserve">Opening balance (£)</t>
  </si>
  <si>
    <t xml:space="preserve">Computed closing (£)</t>
  </si>
  <si>
    <t xml:space="preserve">Statement closing (£)</t>
  </si>
  <si>
    <t xml:space="preserve">Difference (£)</t>
  </si>
  <si>
    <t xml:space="preserve">Status</t>
  </si>
  <si>
    <t xml:space="preserve">The statement closing balances are typed from each printed statement. Statement 5 is the final statement for the account.</t>
  </si>
  <si>
    <t xml:space="preserve">Category rules</t>
  </si>
  <si>
    <t xml:space="preserve">Keyword found anywhere in the description sets the category. Keep keywords specific.</t>
  </si>
  <si>
    <t xml:space="preserve">Keyword</t>
  </si>
  <si>
    <t xml:space="preserve">Direction</t>
  </si>
  <si>
    <t xml:space="preserve">Direct credit</t>
  </si>
  <si>
    <t xml:space="preserve">in</t>
  </si>
  <si>
    <t xml:space="preserve">Transfer from</t>
  </si>
  <si>
    <t xml:space="preserve">Transfer to</t>
  </si>
  <si>
    <t xml:space="preserve">out</t>
  </si>
  <si>
    <t xml:space="preserve">Bill payment</t>
  </si>
  <si>
    <t xml:space="preserve">Fuel</t>
  </si>
  <si>
    <t xml:space="preserve">Garage</t>
  </si>
  <si>
    <t xml:space="preserve">Tyre</t>
  </si>
  <si>
    <t xml:space="preserve">Wholesale</t>
  </si>
  <si>
    <t xml:space="preserve">Cash and carry</t>
  </si>
  <si>
    <t xml:space="preserve">Grocer</t>
  </si>
  <si>
    <t xml:space="preserve">Cash machine</t>
  </si>
  <si>
    <t xml:space="preserve">Commission charges</t>
  </si>
  <si>
    <t xml:space="preserve">Direct debit</t>
  </si>
  <si>
    <t xml:space="preserve">Car park</t>
  </si>
  <si>
    <t xml:space="preserve">Charity</t>
  </si>
  <si>
    <t xml:space="preserve">Cafe</t>
  </si>
  <si>
    <t xml:space="preserve">Pharmacy</t>
  </si>
  <si>
    <t xml:space="preserve">Stationers</t>
  </si>
  <si>
    <t xml:space="preserve">Hardware</t>
  </si>
  <si>
    <t xml:space="preserve">Checks</t>
  </si>
  <si>
    <t xml:space="preserve">Every line should read OK before the budget is used.</t>
  </si>
  <si>
    <t xml:space="preserve">Check</t>
  </si>
  <si>
    <t xml:space="preserve">Value</t>
  </si>
  <si>
    <t xml:space="preserve">Expected</t>
  </si>
  <si>
    <t xml:space="preserve">Result</t>
  </si>
  <si>
    <t xml:space="preserve">Transactions in the ledger</t>
  </si>
  <si>
    <t xml:space="preserve">Uncategorised transactions</t>
  </si>
  <si>
    <t xml:space="preserve">Periods reconciled to the statement</t>
  </si>
  <si>
    <t xml:space="preserve">Ledger money out less budget spending total</t>
  </si>
  <si>
    <t xml:space="preserve">Ledger money in less budget income total</t>
  </si>
  <si>
    <t xml:space="preserve">Final running balance less statement 5 closing</t>
  </si>
</sst>
</file>

<file path=xl/styles.xml><?xml version="1.0" encoding="utf-8"?>
<styleSheet xmlns="http://schemas.openxmlformats.org/spreadsheetml/2006/main">
  <numFmts count="6">
    <numFmt numFmtId="164" formatCode="General"/>
    <numFmt numFmtId="165" formatCode="#,##0.00;\(#,##0.00\);\-"/>
    <numFmt numFmtId="166" formatCode="0.0%"/>
    <numFmt numFmtId="167" formatCode="0"/>
    <numFmt numFmtId="168" formatCode="#,##0.00"/>
    <numFmt numFmtId="169" formatCode="dd/mm/yyyy"/>
  </numFmts>
  <fonts count="18">
    <font>
      <sz val="11"/>
      <color theme="1"/>
      <name val="Calibri"/>
      <family val="2"/>
      <charset val="1"/>
    </font>
    <font>
      <sz val="10"/>
      <name val="Arial"/>
      <family val="0"/>
    </font>
    <font>
      <sz val="10"/>
      <name val="Arial"/>
      <family val="0"/>
    </font>
    <font>
      <sz val="10"/>
      <name val="Arial"/>
      <family val="0"/>
    </font>
    <font>
      <b val="true"/>
      <sz val="16"/>
      <color rgb="FF1F2937"/>
      <name val="Arial"/>
      <family val="0"/>
      <charset val="1"/>
    </font>
    <font>
      <b val="true"/>
      <sz val="10"/>
      <color rgb="FF9A3412"/>
      <name val="Arial"/>
      <family val="0"/>
      <charset val="1"/>
    </font>
    <font>
      <b val="true"/>
      <sz val="12"/>
      <color rgb="FF1F3A5F"/>
      <name val="Arial"/>
      <family val="0"/>
      <charset val="1"/>
    </font>
    <font>
      <sz val="10"/>
      <color rgb="FF1F2937"/>
      <name val="Arial"/>
      <family val="0"/>
      <charset val="1"/>
    </font>
    <font>
      <b val="true"/>
      <sz val="14"/>
      <color rgb="FF1F2937"/>
      <name val="Arial"/>
      <family val="0"/>
      <charset val="1"/>
    </font>
    <font>
      <i val="true"/>
      <sz val="9"/>
      <color rgb="FF6B7280"/>
      <name val="Arial"/>
      <family val="0"/>
      <charset val="1"/>
    </font>
    <font>
      <b val="true"/>
      <sz val="10"/>
      <color rgb="FF1F2937"/>
      <name val="Arial"/>
      <family val="0"/>
      <charset val="1"/>
    </font>
    <font>
      <b val="true"/>
      <sz val="10"/>
      <color rgb="FF0000FF"/>
      <name val="Arial"/>
      <family val="0"/>
      <charset val="1"/>
    </font>
    <font>
      <b val="true"/>
      <sz val="10"/>
      <color rgb="FFFFFFFF"/>
      <name val="Arial"/>
      <family val="0"/>
      <charset val="1"/>
    </font>
    <font>
      <b val="true"/>
      <sz val="10"/>
      <color rgb="FF1F3A5F"/>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1F2937"/>
      <name val="Arial"/>
      <family val="0"/>
      <charset val="1"/>
    </font>
  </fonts>
  <fills count="6">
    <fill>
      <patternFill patternType="none"/>
    </fill>
    <fill>
      <patternFill patternType="gray125"/>
    </fill>
    <fill>
      <patternFill patternType="solid">
        <fgColor rgb="FFFFEDD5"/>
        <bgColor rgb="FFFFF2CC"/>
      </patternFill>
    </fill>
    <fill>
      <patternFill patternType="solid">
        <fgColor rgb="FFFFF2CC"/>
        <bgColor rgb="FFFFEDD5"/>
      </patternFill>
    </fill>
    <fill>
      <patternFill patternType="solid">
        <fgColor rgb="FF1F3A5F"/>
        <bgColor rgb="FF1F2937"/>
      </patternFill>
    </fill>
    <fill>
      <patternFill patternType="solid">
        <fgColor rgb="FFE8EEF5"/>
        <bgColor rgb="FFDCFCE7"/>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6" fontId="7"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B91C1C"/>
        <sz val="10"/>
      </font>
      <fill>
        <patternFill>
          <bgColor rgb="FFFDE2E1"/>
        </patternFill>
      </fill>
    </dxf>
    <dxf>
      <fill>
        <patternFill patternType="solid">
          <fgColor rgb="FF1F3A5F"/>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bgColor rgb="FFFDE2E1"/>
        </patternFill>
      </fill>
    </dxf>
    <dxf>
      <font>
        <name val="Arial"/>
        <charset val="1"/>
        <family val="0"/>
        <b val="1"/>
        <color rgb="FF15803D"/>
        <sz val="10"/>
      </font>
      <fill>
        <patternFill>
          <bgColor rgb="FFDCFCE7"/>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15803D"/>
      <rgbColor rgb="FF000080"/>
      <rgbColor rgb="FF808000"/>
      <rgbColor rgb="FF800080"/>
      <rgbColor rgb="FF008080"/>
      <rgbColor rgb="FFD9D9D9"/>
      <rgbColor rgb="FF878787"/>
      <rgbColor rgb="FF9999FF"/>
      <rgbColor rgb="FFB91C1C"/>
      <rgbColor rgb="FFFFF2CC"/>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8EEF5"/>
      <rgbColor rgb="FFCCFFCC"/>
      <rgbColor rgb="FFFFEDD5"/>
      <rgbColor rgb="FF99CCFF"/>
      <rgbColor rgb="FFFF99CC"/>
      <rgbColor rgb="FFCC99FF"/>
      <rgbColor rgb="FFFDE2E1"/>
      <rgbColor rgb="FF4F81BD"/>
      <rgbColor rgb="FF33CCCC"/>
      <rgbColor rgb="FF99CC00"/>
      <rgbColor rgb="FFFFCC00"/>
      <rgbColor rgb="FFFF9900"/>
      <rgbColor rgb="FFFF6600"/>
      <rgbColor rgb="FF6B7280"/>
      <rgbColor rgb="FF969696"/>
      <rgbColor rgb="FF1F3A5F"/>
      <rgbColor rgb="FF339966"/>
      <rgbColor rgb="FF003300"/>
      <rgbColor rgb="FF333300"/>
      <rgbColor rgb="FF9A3412"/>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spend by category, 21 May to 11 Oct 2022 (synthetic)</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Budget!$A$8:$A$19</c:f>
              <c:strCache>
                <c:ptCount val="12"/>
                <c:pt idx="0">
                  <c:v>Transfers out</c:v>
                </c:pt>
                <c:pt idx="1">
                  <c:v>Supplier payments</c:v>
                </c:pt>
                <c:pt idx="2">
                  <c:v>Fuel and vehicle</c:v>
                </c:pt>
                <c:pt idx="3">
                  <c:v>Stock and supplies</c:v>
                </c:pt>
                <c:pt idx="4">
                  <c:v>Cash withdrawals</c:v>
                </c:pt>
                <c:pt idx="5">
                  <c:v>Bank charges</c:v>
                </c:pt>
                <c:pt idx="6">
                  <c:v>Subscriptions and utilities</c:v>
                </c:pt>
                <c:pt idx="7">
                  <c:v>Parking</c:v>
                </c:pt>
                <c:pt idx="8">
                  <c:v>Donations</c:v>
                </c:pt>
                <c:pt idx="9">
                  <c:v>Meals and subsistence</c:v>
                </c:pt>
                <c:pt idx="10">
                  <c:v>Health and welfare</c:v>
                </c:pt>
                <c:pt idx="11">
                  <c:v>Office and equipment</c:v>
                </c:pt>
              </c:strCache>
            </c:strRef>
          </c:cat>
          <c:val>
            <c:numRef>
              <c:f>Budget!$G$8:$G$19</c:f>
              <c:numCache>
                <c:formatCode>#,##0.00;\(#,##0.00\);\-</c:formatCode>
                <c:ptCount val="12"/>
                <c:pt idx="0">
                  <c:v>5850</c:v>
                </c:pt>
                <c:pt idx="1">
                  <c:v>1475</c:v>
                </c:pt>
                <c:pt idx="2">
                  <c:v>1721.34</c:v>
                </c:pt>
                <c:pt idx="3">
                  <c:v>2766.02</c:v>
                </c:pt>
                <c:pt idx="4">
                  <c:v>509.99</c:v>
                </c:pt>
                <c:pt idx="5">
                  <c:v>42.5</c:v>
                </c:pt>
                <c:pt idx="6">
                  <c:v>41</c:v>
                </c:pt>
                <c:pt idx="7">
                  <c:v>52.86</c:v>
                </c:pt>
                <c:pt idx="8">
                  <c:v>170.58</c:v>
                </c:pt>
                <c:pt idx="9">
                  <c:v>72.75</c:v>
                </c:pt>
                <c:pt idx="10">
                  <c:v>44.67</c:v>
                </c:pt>
                <c:pt idx="11">
                  <c:v>256.06</c:v>
                </c:pt>
              </c:numCache>
            </c:numRef>
          </c:val>
        </c:ser>
        <c:gapWidth val="150"/>
        <c:overlap val="0"/>
        <c:axId val="64075016"/>
        <c:axId val="47732403"/>
      </c:barChart>
      <c:catAx>
        <c:axId val="6407501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732403"/>
        <c:crosses val="autoZero"/>
        <c:auto val="1"/>
        <c:lblAlgn val="ctr"/>
        <c:lblOffset val="100"/>
        <c:noMultiLvlLbl val="0"/>
      </c:catAx>
      <c:valAx>
        <c:axId val="47732403"/>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07501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4</xdr:row>
      <xdr:rowOff>160560</xdr:rowOff>
    </xdr:from>
    <xdr:to>
      <xdr:col>25</xdr:col>
      <xdr:colOff>473040</xdr:colOff>
      <xdr:row>24</xdr:row>
      <xdr:rowOff>100800</xdr:rowOff>
    </xdr:to>
    <xdr:graphicFrame>
      <xdr:nvGraphicFramePr>
        <xdr:cNvPr id="0" name="Chart 1"/>
        <xdr:cNvGraphicFramePr/>
      </xdr:nvGraphicFramePr>
      <xdr:xfrm>
        <a:off x="11748240" y="952560"/>
        <a:ext cx="71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Rules" displayName="tblRules" ref="A4:C23" headerRowCount="1" totalsRowCount="0" totalsRowShown="0">
  <autoFilter ref="A4:C23"/>
  <tableColumns count="3">
    <tableColumn id="1" name="Keyword"/>
    <tableColumn id="2" name="Category"/>
    <tableColumn id="3" name="Direction"/>
  </tableColumns>
</table>
</file>

<file path=xl/tables/table2.xml><?xml version="1.0" encoding="utf-8"?>
<table xmlns="http://schemas.openxmlformats.org/spreadsheetml/2006/main" id="2" name="tblTransactions" displayName="tblTransactions" ref="A5:H188" headerRowCount="1" totalsRowCount="0" totalsRowShown="0">
  <autoFilter ref="A5:H188"/>
  <tableColumns count="8">
    <tableColumn id="1" name="Period"/>
    <tableColumn id="2" name="Date"/>
    <tableColumn id="3" name="Description"/>
    <tableColumn id="4" name="Money out (£)"/>
    <tableColumn id="5" name="Money in (£)"/>
    <tableColumn id="6" name="Balance (£)"/>
    <tableColumn id="7" name="Category"/>
    <tableColumn id="8" name="Month"/>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9.7" hidden="false" customHeight="false" outlineLevel="0" collapsed="false">
      <c r="B1" s="1" t="s">
        <v>0</v>
      </c>
    </row>
    <row r="2" customFormat="false" ht="15" hidden="false" customHeight="false" outlineLevel="0" collapsed="false">
      <c r="B2" s="2" t="s">
        <v>1</v>
      </c>
    </row>
    <row r="4" customFormat="false" ht="21.75" hidden="false" customHeight="true" outlineLevel="0" collapsed="false">
      <c r="B4" s="3" t="s">
        <v>2</v>
      </c>
    </row>
    <row r="6" customFormat="false" ht="55.5" hidden="false" customHeight="true" outlineLevel="0" collapsed="false">
      <c r="B6" s="4" t="s">
        <v>3</v>
      </c>
    </row>
    <row r="7" customFormat="false" ht="21.75" hidden="false" customHeight="true" outlineLevel="0" collapsed="false">
      <c r="B7" s="3" t="s">
        <v>4</v>
      </c>
    </row>
    <row r="9" customFormat="false" ht="42" hidden="false" customHeight="true" outlineLevel="0" collapsed="false">
      <c r="B9" s="4" t="s">
        <v>5</v>
      </c>
    </row>
    <row r="10" customFormat="false" ht="21.75" hidden="false" customHeight="true" outlineLevel="0" collapsed="false">
      <c r="B10" s="3" t="s">
        <v>6</v>
      </c>
    </row>
    <row r="12" customFormat="false" ht="15" hidden="false" customHeight="true" outlineLevel="0" collapsed="false">
      <c r="B12" s="4" t="s">
        <v>7</v>
      </c>
    </row>
    <row r="13" customFormat="false" ht="27.75" hidden="false" customHeight="true" outlineLevel="0" collapsed="false">
      <c r="B13" s="4" t="s">
        <v>8</v>
      </c>
    </row>
    <row r="14" customFormat="false" ht="27.75" hidden="false" customHeight="true" outlineLevel="0" collapsed="false">
      <c r="B14" s="4" t="s">
        <v>9</v>
      </c>
    </row>
    <row r="15" customFormat="false" ht="27.75" hidden="false" customHeight="true" outlineLevel="0" collapsed="false">
      <c r="B15" s="4" t="s">
        <v>10</v>
      </c>
    </row>
    <row r="16" customFormat="false" ht="15" hidden="false" customHeight="true" outlineLevel="0" collapsed="false">
      <c r="B16" s="4" t="s">
        <v>11</v>
      </c>
    </row>
    <row r="17" customFormat="false" ht="21.75" hidden="false" customHeight="true" outlineLevel="0" collapsed="false">
      <c r="B17" s="3" t="s">
        <v>12</v>
      </c>
    </row>
    <row r="19" customFormat="false" ht="27.75" hidden="false" customHeight="true" outlineLevel="0" collapsed="false">
      <c r="B19" s="4"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0"/>
    <col collapsed="false" customWidth="true" hidden="false" outlineLevel="0" max="7" min="7" style="0" width="11"/>
    <col collapsed="false" customWidth="true" hidden="false" outlineLevel="0" max="8" min="8" style="0" width="12"/>
    <col collapsed="false" customWidth="true" hidden="false" outlineLevel="0" max="9" min="9" style="0" width="11"/>
    <col collapsed="false" customWidth="true" hidden="false" outlineLevel="0" max="12" min="10" style="0" width="13"/>
    <col collapsed="false" customWidth="true" hidden="false" outlineLevel="0" max="13" min="13" style="0" width="7"/>
  </cols>
  <sheetData>
    <row r="1" customFormat="false" ht="17.35" hidden="false" customHeight="false" outlineLevel="0" collapsed="false">
      <c r="A1" s="5" t="s">
        <v>14</v>
      </c>
    </row>
    <row r="2" customFormat="false" ht="15" hidden="false" customHeight="false" outlineLevel="0" collapsed="false">
      <c r="A2" s="6" t="s">
        <v>15</v>
      </c>
    </row>
    <row r="4" customFormat="false" ht="15" hidden="false" customHeight="false" outlineLevel="0" collapsed="false">
      <c r="A4" s="7" t="s">
        <v>16</v>
      </c>
      <c r="B4" s="8" t="s">
        <v>17</v>
      </c>
    </row>
    <row r="6" customFormat="false" ht="31.5" hidden="false" customHeight="true" outlineLevel="0" collapsed="false">
      <c r="A6" s="9" t="s">
        <v>18</v>
      </c>
      <c r="B6" s="9" t="s">
        <v>19</v>
      </c>
      <c r="C6" s="9" t="s">
        <v>20</v>
      </c>
      <c r="D6" s="9" t="s">
        <v>21</v>
      </c>
      <c r="E6" s="9" t="s">
        <v>17</v>
      </c>
      <c r="F6" s="9" t="s">
        <v>22</v>
      </c>
      <c r="G6" s="9" t="s">
        <v>23</v>
      </c>
      <c r="H6" s="9" t="s">
        <v>24</v>
      </c>
      <c r="I6" s="9" t="s">
        <v>25</v>
      </c>
      <c r="J6" s="9" t="s">
        <v>26</v>
      </c>
      <c r="K6" s="9" t="s">
        <v>27</v>
      </c>
      <c r="L6" s="9" t="s">
        <v>28</v>
      </c>
      <c r="M6" s="9" t="s">
        <v>29</v>
      </c>
    </row>
    <row r="7" customFormat="false" ht="15" hidden="false" customHeight="false" outlineLevel="0" collapsed="false">
      <c r="A7" s="10" t="s">
        <v>30</v>
      </c>
      <c r="B7" s="11"/>
      <c r="C7" s="11"/>
      <c r="D7" s="11"/>
      <c r="E7" s="11"/>
      <c r="F7" s="11"/>
      <c r="G7" s="11"/>
      <c r="H7" s="11"/>
      <c r="I7" s="12"/>
      <c r="J7" s="11"/>
      <c r="K7" s="11"/>
      <c r="L7" s="11"/>
      <c r="M7" s="13"/>
    </row>
    <row r="8" customFormat="false" ht="15" hidden="false" customHeight="false" outlineLevel="0" collapsed="false">
      <c r="A8" s="14" t="s">
        <v>31</v>
      </c>
      <c r="B8" s="15" t="n">
        <f aca="false">SUMIFS(Transactions!$D$6:$D$188,Transactions!$G$6:$G$188,$A8,Transactions!$A$6:$A$188,"P1")</f>
        <v>575</v>
      </c>
      <c r="C8" s="15" t="n">
        <f aca="false">SUMIFS(Transactions!$D$6:$D$188,Transactions!$G$6:$G$188,$A8,Transactions!$A$6:$A$188,"P2")</f>
        <v>1300</v>
      </c>
      <c r="D8" s="15" t="n">
        <f aca="false">SUMIFS(Transactions!$D$6:$D$188,Transactions!$G$6:$G$188,$A8,Transactions!$A$6:$A$188,"P3")</f>
        <v>1325</v>
      </c>
      <c r="E8" s="15" t="n">
        <f aca="false">SUMIFS(Transactions!$D$6:$D$188,Transactions!$G$6:$G$188,$A8,Transactions!$A$6:$A$188,"P4")</f>
        <v>2550</v>
      </c>
      <c r="F8" s="15" t="n">
        <f aca="false">SUMIFS(Transactions!$D$6:$D$188,Transactions!$G$6:$G$188,$A8,Transactions!$A$6:$A$188,"P5")</f>
        <v>100</v>
      </c>
      <c r="G8" s="15" t="n">
        <f aca="false">SUM(B8:F8)</f>
        <v>5850</v>
      </c>
      <c r="H8" s="15" t="n">
        <f aca="false">AVERAGE(B8:E8)</f>
        <v>1437.5</v>
      </c>
      <c r="I8" s="16" t="n">
        <f aca="false">IF($G$20=0,0,G8/$G$20)</f>
        <v>0.449904135811062</v>
      </c>
      <c r="J8" s="17" t="n">
        <v>1440</v>
      </c>
      <c r="K8" s="15" t="n">
        <f aca="false">INDEX(B8:F8,MATCH($B$4,$B$6:$F$6,0))</f>
        <v>2550</v>
      </c>
      <c r="L8" s="15" t="n">
        <f aca="false">J8-K8</f>
        <v>-1110</v>
      </c>
      <c r="M8" s="18" t="n">
        <f aca="false">RANK(G8,$G$8:$G$19)</f>
        <v>1</v>
      </c>
    </row>
    <row r="9" customFormat="false" ht="15" hidden="false" customHeight="false" outlineLevel="0" collapsed="false">
      <c r="A9" s="14" t="s">
        <v>32</v>
      </c>
      <c r="B9" s="15" t="n">
        <f aca="false">SUMIFS(Transactions!$D$6:$D$188,Transactions!$G$6:$G$188,$A9,Transactions!$A$6:$A$188,"P1")</f>
        <v>0</v>
      </c>
      <c r="C9" s="15" t="n">
        <f aca="false">SUMIFS(Transactions!$D$6:$D$188,Transactions!$G$6:$G$188,$A9,Transactions!$A$6:$A$188,"P2")</f>
        <v>275</v>
      </c>
      <c r="D9" s="15" t="n">
        <f aca="false">SUMIFS(Transactions!$D$6:$D$188,Transactions!$G$6:$G$188,$A9,Transactions!$A$6:$A$188,"P3")</f>
        <v>1000</v>
      </c>
      <c r="E9" s="15" t="n">
        <f aca="false">SUMIFS(Transactions!$D$6:$D$188,Transactions!$G$6:$G$188,$A9,Transactions!$A$6:$A$188,"P4")</f>
        <v>200</v>
      </c>
      <c r="F9" s="15" t="n">
        <f aca="false">SUMIFS(Transactions!$D$6:$D$188,Transactions!$G$6:$G$188,$A9,Transactions!$A$6:$A$188,"P5")</f>
        <v>0</v>
      </c>
      <c r="G9" s="15" t="n">
        <f aca="false">SUM(B9:F9)</f>
        <v>1475</v>
      </c>
      <c r="H9" s="15" t="n">
        <f aca="false">AVERAGE(B9:E9)</f>
        <v>368.75</v>
      </c>
      <c r="I9" s="16" t="n">
        <f aca="false">IF($G$20=0,0,G9/$G$20)</f>
        <v>0.113437367576293</v>
      </c>
      <c r="J9" s="17" t="n">
        <v>370</v>
      </c>
      <c r="K9" s="15" t="n">
        <f aca="false">INDEX(B9:F9,MATCH($B$4,$B$6:$F$6,0))</f>
        <v>200</v>
      </c>
      <c r="L9" s="15" t="n">
        <f aca="false">J9-K9</f>
        <v>170</v>
      </c>
      <c r="M9" s="18" t="n">
        <f aca="false">RANK(G9,$G$8:$G$19)</f>
        <v>4</v>
      </c>
    </row>
    <row r="10" customFormat="false" ht="15" hidden="false" customHeight="false" outlineLevel="0" collapsed="false">
      <c r="A10" s="14" t="s">
        <v>33</v>
      </c>
      <c r="B10" s="15" t="n">
        <f aca="false">SUMIFS(Transactions!$D$6:$D$188,Transactions!$G$6:$G$188,$A10,Transactions!$A$6:$A$188,"P1")</f>
        <v>580.68</v>
      </c>
      <c r="C10" s="15" t="n">
        <f aca="false">SUMIFS(Transactions!$D$6:$D$188,Transactions!$G$6:$G$188,$A10,Transactions!$A$6:$A$188,"P2")</f>
        <v>501.32</v>
      </c>
      <c r="D10" s="15" t="n">
        <f aca="false">SUMIFS(Transactions!$D$6:$D$188,Transactions!$G$6:$G$188,$A10,Transactions!$A$6:$A$188,"P3")</f>
        <v>196.38</v>
      </c>
      <c r="E10" s="15" t="n">
        <f aca="false">SUMIFS(Transactions!$D$6:$D$188,Transactions!$G$6:$G$188,$A10,Transactions!$A$6:$A$188,"P4")</f>
        <v>267.5</v>
      </c>
      <c r="F10" s="15" t="n">
        <f aca="false">SUMIFS(Transactions!$D$6:$D$188,Transactions!$G$6:$G$188,$A10,Transactions!$A$6:$A$188,"P5")</f>
        <v>175.46</v>
      </c>
      <c r="G10" s="15" t="n">
        <f aca="false">SUM(B10:F10)</f>
        <v>1721.34</v>
      </c>
      <c r="H10" s="15" t="n">
        <f aca="false">AVERAGE(B10:E10)</f>
        <v>386.47</v>
      </c>
      <c r="I10" s="16" t="n">
        <f aca="false">IF($G$20=0,0,G10/$G$20)</f>
        <v>0.132382561561883</v>
      </c>
      <c r="J10" s="17" t="n">
        <v>390</v>
      </c>
      <c r="K10" s="15" t="n">
        <f aca="false">INDEX(B10:F10,MATCH($B$4,$B$6:$F$6,0))</f>
        <v>267.5</v>
      </c>
      <c r="L10" s="15" t="n">
        <f aca="false">J10-K10</f>
        <v>122.5</v>
      </c>
      <c r="M10" s="18" t="n">
        <f aca="false">RANK(G10,$G$8:$G$19)</f>
        <v>3</v>
      </c>
    </row>
    <row r="11" customFormat="false" ht="15" hidden="false" customHeight="false" outlineLevel="0" collapsed="false">
      <c r="A11" s="14" t="s">
        <v>34</v>
      </c>
      <c r="B11" s="15" t="n">
        <f aca="false">SUMIFS(Transactions!$D$6:$D$188,Transactions!$G$6:$G$188,$A11,Transactions!$A$6:$A$188,"P1")</f>
        <v>629.5</v>
      </c>
      <c r="C11" s="15" t="n">
        <f aca="false">SUMIFS(Transactions!$D$6:$D$188,Transactions!$G$6:$G$188,$A11,Transactions!$A$6:$A$188,"P2")</f>
        <v>395.96</v>
      </c>
      <c r="D11" s="15" t="n">
        <f aca="false">SUMIFS(Transactions!$D$6:$D$188,Transactions!$G$6:$G$188,$A11,Transactions!$A$6:$A$188,"P3")</f>
        <v>1136.04</v>
      </c>
      <c r="E11" s="15" t="n">
        <f aca="false">SUMIFS(Transactions!$D$6:$D$188,Transactions!$G$6:$G$188,$A11,Transactions!$A$6:$A$188,"P4")</f>
        <v>124.83</v>
      </c>
      <c r="F11" s="15" t="n">
        <f aca="false">SUMIFS(Transactions!$D$6:$D$188,Transactions!$G$6:$G$188,$A11,Transactions!$A$6:$A$188,"P5")</f>
        <v>479.69</v>
      </c>
      <c r="G11" s="15" t="n">
        <f aca="false">SUM(B11:F11)</f>
        <v>2766.02</v>
      </c>
      <c r="H11" s="15" t="n">
        <f aca="false">AVERAGE(B11:E11)</f>
        <v>571.5825</v>
      </c>
      <c r="I11" s="16" t="n">
        <f aca="false">IF($G$20=0,0,G11/$G$20)</f>
        <v>0.212725442348054</v>
      </c>
      <c r="J11" s="17" t="n">
        <v>580</v>
      </c>
      <c r="K11" s="15" t="n">
        <f aca="false">INDEX(B11:F11,MATCH($B$4,$B$6:$F$6,0))</f>
        <v>124.83</v>
      </c>
      <c r="L11" s="15" t="n">
        <f aca="false">J11-K11</f>
        <v>455.17</v>
      </c>
      <c r="M11" s="18" t="n">
        <f aca="false">RANK(G11,$G$8:$G$19)</f>
        <v>2</v>
      </c>
    </row>
    <row r="12" customFormat="false" ht="15" hidden="false" customHeight="false" outlineLevel="0" collapsed="false">
      <c r="A12" s="14" t="s">
        <v>35</v>
      </c>
      <c r="B12" s="15" t="n">
        <f aca="false">SUMIFS(Transactions!$D$6:$D$188,Transactions!$G$6:$G$188,$A12,Transactions!$A$6:$A$188,"P1")</f>
        <v>32.29</v>
      </c>
      <c r="C12" s="15" t="n">
        <f aca="false">SUMIFS(Transactions!$D$6:$D$188,Transactions!$G$6:$G$188,$A12,Transactions!$A$6:$A$188,"P2")</f>
        <v>102.37</v>
      </c>
      <c r="D12" s="15" t="n">
        <f aca="false">SUMIFS(Transactions!$D$6:$D$188,Transactions!$G$6:$G$188,$A12,Transactions!$A$6:$A$188,"P3")</f>
        <v>115.6</v>
      </c>
      <c r="E12" s="15" t="n">
        <f aca="false">SUMIFS(Transactions!$D$6:$D$188,Transactions!$G$6:$G$188,$A12,Transactions!$A$6:$A$188,"P4")</f>
        <v>207.34</v>
      </c>
      <c r="F12" s="15" t="n">
        <f aca="false">SUMIFS(Transactions!$D$6:$D$188,Transactions!$G$6:$G$188,$A12,Transactions!$A$6:$A$188,"P5")</f>
        <v>52.39</v>
      </c>
      <c r="G12" s="15" t="n">
        <f aca="false">SUM(B12:F12)</f>
        <v>509.99</v>
      </c>
      <c r="H12" s="15" t="n">
        <f aca="false">AVERAGE(B12:E12)</f>
        <v>114.4</v>
      </c>
      <c r="I12" s="16" t="n">
        <f aca="false">IF($G$20=0,0,G12/$G$20)</f>
        <v>0.0392216427730399</v>
      </c>
      <c r="J12" s="17" t="n">
        <v>120</v>
      </c>
      <c r="K12" s="15" t="n">
        <f aca="false">INDEX(B12:F12,MATCH($B$4,$B$6:$F$6,0))</f>
        <v>207.34</v>
      </c>
      <c r="L12" s="15" t="n">
        <f aca="false">J12-K12</f>
        <v>-87.34</v>
      </c>
      <c r="M12" s="18" t="n">
        <f aca="false">RANK(G12,$G$8:$G$19)</f>
        <v>5</v>
      </c>
    </row>
    <row r="13" customFormat="false" ht="15" hidden="false" customHeight="false" outlineLevel="0" collapsed="false">
      <c r="A13" s="14" t="s">
        <v>36</v>
      </c>
      <c r="B13" s="15" t="n">
        <f aca="false">SUMIFS(Transactions!$D$6:$D$188,Transactions!$G$6:$G$188,$A13,Transactions!$A$6:$A$188,"P1")</f>
        <v>8.5</v>
      </c>
      <c r="C13" s="15" t="n">
        <f aca="false">SUMIFS(Transactions!$D$6:$D$188,Transactions!$G$6:$G$188,$A13,Transactions!$A$6:$A$188,"P2")</f>
        <v>8.5</v>
      </c>
      <c r="D13" s="15" t="n">
        <f aca="false">SUMIFS(Transactions!$D$6:$D$188,Transactions!$G$6:$G$188,$A13,Transactions!$A$6:$A$188,"P3")</f>
        <v>8.5</v>
      </c>
      <c r="E13" s="15" t="n">
        <f aca="false">SUMIFS(Transactions!$D$6:$D$188,Transactions!$G$6:$G$188,$A13,Transactions!$A$6:$A$188,"P4")</f>
        <v>8.5</v>
      </c>
      <c r="F13" s="15" t="n">
        <f aca="false">SUMIFS(Transactions!$D$6:$D$188,Transactions!$G$6:$G$188,$A13,Transactions!$A$6:$A$188,"P5")</f>
        <v>8.5</v>
      </c>
      <c r="G13" s="15" t="n">
        <f aca="false">SUM(B13:F13)</f>
        <v>42.5</v>
      </c>
      <c r="H13" s="15" t="n">
        <f aca="false">AVERAGE(B13:E13)</f>
        <v>8.5</v>
      </c>
      <c r="I13" s="16" t="n">
        <f aca="false">IF($G$20=0,0,G13/$G$20)</f>
        <v>0.00326853431999489</v>
      </c>
      <c r="J13" s="17" t="n">
        <v>10</v>
      </c>
      <c r="K13" s="15" t="n">
        <f aca="false">INDEX(B13:F13,MATCH($B$4,$B$6:$F$6,0))</f>
        <v>8.5</v>
      </c>
      <c r="L13" s="15" t="n">
        <f aca="false">J13-K13</f>
        <v>1.5</v>
      </c>
      <c r="M13" s="18" t="n">
        <f aca="false">RANK(G13,$G$8:$G$19)</f>
        <v>11</v>
      </c>
    </row>
    <row r="14" customFormat="false" ht="15" hidden="false" customHeight="false" outlineLevel="0" collapsed="false">
      <c r="A14" s="14" t="s">
        <v>37</v>
      </c>
      <c r="B14" s="15" t="n">
        <f aca="false">SUMIFS(Transactions!$D$6:$D$188,Transactions!$G$6:$G$188,$A14,Transactions!$A$6:$A$188,"P1")</f>
        <v>8.2</v>
      </c>
      <c r="C14" s="15" t="n">
        <f aca="false">SUMIFS(Transactions!$D$6:$D$188,Transactions!$G$6:$G$188,$A14,Transactions!$A$6:$A$188,"P2")</f>
        <v>8.2</v>
      </c>
      <c r="D14" s="15" t="n">
        <f aca="false">SUMIFS(Transactions!$D$6:$D$188,Transactions!$G$6:$G$188,$A14,Transactions!$A$6:$A$188,"P3")</f>
        <v>8.2</v>
      </c>
      <c r="E14" s="15" t="n">
        <f aca="false">SUMIFS(Transactions!$D$6:$D$188,Transactions!$G$6:$G$188,$A14,Transactions!$A$6:$A$188,"P4")</f>
        <v>8.2</v>
      </c>
      <c r="F14" s="15" t="n">
        <f aca="false">SUMIFS(Transactions!$D$6:$D$188,Transactions!$G$6:$G$188,$A14,Transactions!$A$6:$A$188,"P5")</f>
        <v>8.2</v>
      </c>
      <c r="G14" s="15" t="n">
        <f aca="false">SUM(B14:F14)</f>
        <v>41</v>
      </c>
      <c r="H14" s="15" t="n">
        <f aca="false">AVERAGE(B14:E14)</f>
        <v>8.2</v>
      </c>
      <c r="I14" s="16" t="n">
        <f aca="false">IF($G$20=0,0,G14/$G$20)</f>
        <v>0.00315317428517154</v>
      </c>
      <c r="J14" s="17" t="n">
        <v>10</v>
      </c>
      <c r="K14" s="15" t="n">
        <f aca="false">INDEX(B14:F14,MATCH($B$4,$B$6:$F$6,0))</f>
        <v>8.2</v>
      </c>
      <c r="L14" s="15" t="n">
        <f aca="false">J14-K14</f>
        <v>1.8</v>
      </c>
      <c r="M14" s="18" t="n">
        <f aca="false">RANK(G14,$G$8:$G$19)</f>
        <v>12</v>
      </c>
    </row>
    <row r="15" customFormat="false" ht="15" hidden="false" customHeight="false" outlineLevel="0" collapsed="false">
      <c r="A15" s="14" t="s">
        <v>38</v>
      </c>
      <c r="B15" s="15" t="n">
        <f aca="false">SUMIFS(Transactions!$D$6:$D$188,Transactions!$G$6:$G$188,$A15,Transactions!$A$6:$A$188,"P1")</f>
        <v>17.49</v>
      </c>
      <c r="C15" s="15" t="n">
        <f aca="false">SUMIFS(Transactions!$D$6:$D$188,Transactions!$G$6:$G$188,$A15,Transactions!$A$6:$A$188,"P2")</f>
        <v>0</v>
      </c>
      <c r="D15" s="15" t="n">
        <f aca="false">SUMIFS(Transactions!$D$6:$D$188,Transactions!$G$6:$G$188,$A15,Transactions!$A$6:$A$188,"P3")</f>
        <v>0</v>
      </c>
      <c r="E15" s="15" t="n">
        <f aca="false">SUMIFS(Transactions!$D$6:$D$188,Transactions!$G$6:$G$188,$A15,Transactions!$A$6:$A$188,"P4")</f>
        <v>20.44</v>
      </c>
      <c r="F15" s="15" t="n">
        <f aca="false">SUMIFS(Transactions!$D$6:$D$188,Transactions!$G$6:$G$188,$A15,Transactions!$A$6:$A$188,"P5")</f>
        <v>14.93</v>
      </c>
      <c r="G15" s="15" t="n">
        <f aca="false">SUM(B15:F15)</f>
        <v>52.86</v>
      </c>
      <c r="H15" s="15" t="n">
        <f aca="false">AVERAGE(B15:E15)</f>
        <v>9.4825</v>
      </c>
      <c r="I15" s="16" t="n">
        <f aca="false">IF($G$20=0,0,G15/$G$20)</f>
        <v>0.00406528762717483</v>
      </c>
      <c r="J15" s="17" t="n">
        <v>10</v>
      </c>
      <c r="K15" s="15" t="n">
        <f aca="false">INDEX(B15:F15,MATCH($B$4,$B$6:$F$6,0))</f>
        <v>20.44</v>
      </c>
      <c r="L15" s="15" t="n">
        <f aca="false">J15-K15</f>
        <v>-10.44</v>
      </c>
      <c r="M15" s="18" t="n">
        <f aca="false">RANK(G15,$G$8:$G$19)</f>
        <v>9</v>
      </c>
    </row>
    <row r="16" customFormat="false" ht="15" hidden="false" customHeight="false" outlineLevel="0" collapsed="false">
      <c r="A16" s="14" t="s">
        <v>39</v>
      </c>
      <c r="B16" s="15" t="n">
        <f aca="false">SUMIFS(Transactions!$D$6:$D$188,Transactions!$G$6:$G$188,$A16,Transactions!$A$6:$A$188,"P1")</f>
        <v>60.97</v>
      </c>
      <c r="C16" s="15" t="n">
        <f aca="false">SUMIFS(Transactions!$D$6:$D$188,Transactions!$G$6:$G$188,$A16,Transactions!$A$6:$A$188,"P2")</f>
        <v>55.08</v>
      </c>
      <c r="D16" s="15" t="n">
        <f aca="false">SUMIFS(Transactions!$D$6:$D$188,Transactions!$G$6:$G$188,$A16,Transactions!$A$6:$A$188,"P3")</f>
        <v>26.55</v>
      </c>
      <c r="E16" s="15" t="n">
        <f aca="false">SUMIFS(Transactions!$D$6:$D$188,Transactions!$G$6:$G$188,$A16,Transactions!$A$6:$A$188,"P4")</f>
        <v>0</v>
      </c>
      <c r="F16" s="15" t="n">
        <f aca="false">SUMIFS(Transactions!$D$6:$D$188,Transactions!$G$6:$G$188,$A16,Transactions!$A$6:$A$188,"P5")</f>
        <v>27.98</v>
      </c>
      <c r="G16" s="15" t="n">
        <f aca="false">SUM(B16:F16)</f>
        <v>170.58</v>
      </c>
      <c r="H16" s="15" t="n">
        <f aca="false">AVERAGE(B16:E16)</f>
        <v>35.65</v>
      </c>
      <c r="I16" s="16" t="n">
        <f aca="false">IF($G$20=0,0,G16/$G$20)</f>
        <v>0.0131187431601113</v>
      </c>
      <c r="J16" s="17" t="n">
        <v>40</v>
      </c>
      <c r="K16" s="15" t="n">
        <f aca="false">INDEX(B16:F16,MATCH($B$4,$B$6:$F$6,0))</f>
        <v>0</v>
      </c>
      <c r="L16" s="15" t="n">
        <f aca="false">J16-K16</f>
        <v>40</v>
      </c>
      <c r="M16" s="18" t="n">
        <f aca="false">RANK(G16,$G$8:$G$19)</f>
        <v>7</v>
      </c>
    </row>
    <row r="17" customFormat="false" ht="15" hidden="false" customHeight="false" outlineLevel="0" collapsed="false">
      <c r="A17" s="14" t="s">
        <v>40</v>
      </c>
      <c r="B17" s="15" t="n">
        <f aca="false">SUMIFS(Transactions!$D$6:$D$188,Transactions!$G$6:$G$188,$A17,Transactions!$A$6:$A$188,"P1")</f>
        <v>17.39</v>
      </c>
      <c r="C17" s="15" t="n">
        <f aca="false">SUMIFS(Transactions!$D$6:$D$188,Transactions!$G$6:$G$188,$A17,Transactions!$A$6:$A$188,"P2")</f>
        <v>11.52</v>
      </c>
      <c r="D17" s="15" t="n">
        <f aca="false">SUMIFS(Transactions!$D$6:$D$188,Transactions!$G$6:$G$188,$A17,Transactions!$A$6:$A$188,"P3")</f>
        <v>7.25</v>
      </c>
      <c r="E17" s="15" t="n">
        <f aca="false">SUMIFS(Transactions!$D$6:$D$188,Transactions!$G$6:$G$188,$A17,Transactions!$A$6:$A$188,"P4")</f>
        <v>36.59</v>
      </c>
      <c r="F17" s="15" t="n">
        <f aca="false">SUMIFS(Transactions!$D$6:$D$188,Transactions!$G$6:$G$188,$A17,Transactions!$A$6:$A$188,"P5")</f>
        <v>0</v>
      </c>
      <c r="G17" s="15" t="n">
        <f aca="false">SUM(B17:F17)</f>
        <v>72.75</v>
      </c>
      <c r="H17" s="15" t="n">
        <f aca="false">AVERAGE(B17:E17)</f>
        <v>18.1875</v>
      </c>
      <c r="I17" s="16" t="n">
        <f aca="false">IF($G$20=0,0,G17/$G$20)</f>
        <v>0.00559496168893244</v>
      </c>
      <c r="J17" s="17" t="n">
        <v>20</v>
      </c>
      <c r="K17" s="15" t="n">
        <f aca="false">INDEX(B17:F17,MATCH($B$4,$B$6:$F$6,0))</f>
        <v>36.59</v>
      </c>
      <c r="L17" s="15" t="n">
        <f aca="false">J17-K17</f>
        <v>-16.59</v>
      </c>
      <c r="M17" s="18" t="n">
        <f aca="false">RANK(G17,$G$8:$G$19)</f>
        <v>8</v>
      </c>
    </row>
    <row r="18" customFormat="false" ht="15" hidden="false" customHeight="false" outlineLevel="0" collapsed="false">
      <c r="A18" s="14" t="s">
        <v>41</v>
      </c>
      <c r="B18" s="15" t="n">
        <f aca="false">SUMIFS(Transactions!$D$6:$D$188,Transactions!$G$6:$G$188,$A18,Transactions!$A$6:$A$188,"P1")</f>
        <v>9.27</v>
      </c>
      <c r="C18" s="15" t="n">
        <f aca="false">SUMIFS(Transactions!$D$6:$D$188,Transactions!$G$6:$G$188,$A18,Transactions!$A$6:$A$188,"P2")</f>
        <v>17.45</v>
      </c>
      <c r="D18" s="15" t="n">
        <f aca="false">SUMIFS(Transactions!$D$6:$D$188,Transactions!$G$6:$G$188,$A18,Transactions!$A$6:$A$188,"P3")</f>
        <v>17.95</v>
      </c>
      <c r="E18" s="15" t="n">
        <f aca="false">SUMIFS(Transactions!$D$6:$D$188,Transactions!$G$6:$G$188,$A18,Transactions!$A$6:$A$188,"P4")</f>
        <v>0</v>
      </c>
      <c r="F18" s="15" t="n">
        <f aca="false">SUMIFS(Transactions!$D$6:$D$188,Transactions!$G$6:$G$188,$A18,Transactions!$A$6:$A$188,"P5")</f>
        <v>0</v>
      </c>
      <c r="G18" s="15" t="n">
        <f aca="false">SUM(B18:F18)</f>
        <v>44.67</v>
      </c>
      <c r="H18" s="15" t="n">
        <f aca="false">AVERAGE(B18:E18)</f>
        <v>11.1675</v>
      </c>
      <c r="I18" s="16" t="n">
        <f aca="false">IF($G$20=0,0,G18/$G$20)</f>
        <v>0.00343542183703934</v>
      </c>
      <c r="J18" s="17" t="n">
        <v>20</v>
      </c>
      <c r="K18" s="15" t="n">
        <f aca="false">INDEX(B18:F18,MATCH($B$4,$B$6:$F$6,0))</f>
        <v>0</v>
      </c>
      <c r="L18" s="15" t="n">
        <f aca="false">J18-K18</f>
        <v>20</v>
      </c>
      <c r="M18" s="18" t="n">
        <f aca="false">RANK(G18,$G$8:$G$19)</f>
        <v>10</v>
      </c>
    </row>
    <row r="19" customFormat="false" ht="15" hidden="false" customHeight="false" outlineLevel="0" collapsed="false">
      <c r="A19" s="14" t="s">
        <v>42</v>
      </c>
      <c r="B19" s="15" t="n">
        <f aca="false">SUMIFS(Transactions!$D$6:$D$188,Transactions!$G$6:$G$188,$A19,Transactions!$A$6:$A$188,"P1")</f>
        <v>99.39</v>
      </c>
      <c r="C19" s="15" t="n">
        <f aca="false">SUMIFS(Transactions!$D$6:$D$188,Transactions!$G$6:$G$188,$A19,Transactions!$A$6:$A$188,"P2")</f>
        <v>66.04</v>
      </c>
      <c r="D19" s="15" t="n">
        <f aca="false">SUMIFS(Transactions!$D$6:$D$188,Transactions!$G$6:$G$188,$A19,Transactions!$A$6:$A$188,"P3")</f>
        <v>0</v>
      </c>
      <c r="E19" s="15" t="n">
        <f aca="false">SUMIFS(Transactions!$D$6:$D$188,Transactions!$G$6:$G$188,$A19,Transactions!$A$6:$A$188,"P4")</f>
        <v>20.36</v>
      </c>
      <c r="F19" s="15" t="n">
        <f aca="false">SUMIFS(Transactions!$D$6:$D$188,Transactions!$G$6:$G$188,$A19,Transactions!$A$6:$A$188,"P5")</f>
        <v>70.27</v>
      </c>
      <c r="G19" s="15" t="n">
        <f aca="false">SUM(B19:F19)</f>
        <v>256.06</v>
      </c>
      <c r="H19" s="15" t="n">
        <f aca="false">AVERAGE(B19:E19)</f>
        <v>46.4475</v>
      </c>
      <c r="I19" s="16" t="n">
        <f aca="false">IF($G$20=0,0,G19/$G$20)</f>
        <v>0.0196927270112445</v>
      </c>
      <c r="J19" s="17" t="n">
        <v>50</v>
      </c>
      <c r="K19" s="15" t="n">
        <f aca="false">INDEX(B19:F19,MATCH($B$4,$B$6:$F$6,0))</f>
        <v>20.36</v>
      </c>
      <c r="L19" s="15" t="n">
        <f aca="false">J19-K19</f>
        <v>29.64</v>
      </c>
      <c r="M19" s="18" t="n">
        <f aca="false">RANK(G19,$G$8:$G$19)</f>
        <v>6</v>
      </c>
    </row>
    <row r="20" customFormat="false" ht="15" hidden="false" customHeight="false" outlineLevel="0" collapsed="false">
      <c r="A20" s="19" t="s">
        <v>43</v>
      </c>
      <c r="B20" s="20" t="n">
        <f aca="false">SUM(B8:B19)</f>
        <v>2038.68</v>
      </c>
      <c r="C20" s="20" t="n">
        <f aca="false">SUM(C8:C19)</f>
        <v>2741.44</v>
      </c>
      <c r="D20" s="20" t="n">
        <f aca="false">SUM(D8:D19)</f>
        <v>3841.47</v>
      </c>
      <c r="E20" s="20" t="n">
        <f aca="false">SUM(E8:E19)</f>
        <v>3443.76</v>
      </c>
      <c r="F20" s="20" t="n">
        <f aca="false">SUM(F8:F19)</f>
        <v>937.42</v>
      </c>
      <c r="G20" s="20" t="n">
        <f aca="false">SUM(G8:G19)</f>
        <v>13002.77</v>
      </c>
      <c r="H20" s="20" t="n">
        <f aca="false">SUM(H8:H19)</f>
        <v>3016.3375</v>
      </c>
      <c r="I20" s="21"/>
      <c r="J20" s="20" t="n">
        <f aca="false">SUM(J8:J19)</f>
        <v>3060</v>
      </c>
      <c r="K20" s="20" t="n">
        <f aca="false">SUM(K8:K19)</f>
        <v>3443.76</v>
      </c>
      <c r="L20" s="20" t="n">
        <f aca="false">SUM(L8:L19)</f>
        <v>-383.76</v>
      </c>
      <c r="M20" s="13"/>
    </row>
    <row r="21" customFormat="false" ht="15" hidden="false" customHeight="false" outlineLevel="0" collapsed="false">
      <c r="A21" s="22"/>
      <c r="B21" s="11"/>
      <c r="C21" s="11"/>
      <c r="D21" s="11"/>
      <c r="E21" s="11"/>
      <c r="F21" s="11"/>
      <c r="G21" s="11"/>
      <c r="H21" s="11"/>
      <c r="I21" s="12"/>
      <c r="J21" s="11"/>
      <c r="K21" s="11"/>
      <c r="L21" s="11"/>
      <c r="M21" s="13"/>
    </row>
    <row r="22" customFormat="false" ht="15" hidden="false" customHeight="false" outlineLevel="0" collapsed="false">
      <c r="A22" s="10" t="s">
        <v>44</v>
      </c>
      <c r="B22" s="11"/>
      <c r="C22" s="11"/>
      <c r="D22" s="11"/>
      <c r="E22" s="11"/>
      <c r="F22" s="11"/>
      <c r="G22" s="11"/>
      <c r="H22" s="11"/>
      <c r="I22" s="12"/>
      <c r="J22" s="11"/>
      <c r="K22" s="11"/>
      <c r="L22" s="11"/>
      <c r="M22" s="13"/>
    </row>
    <row r="23" customFormat="false" ht="15" hidden="false" customHeight="false" outlineLevel="0" collapsed="false">
      <c r="A23" s="14" t="s">
        <v>45</v>
      </c>
      <c r="B23" s="15" t="n">
        <f aca="false">SUMIFS(Transactions!$E$6:$E$188,Transactions!$G$6:$G$188,$A23,Transactions!$A$6:$A$188,"P1")</f>
        <v>1501.21</v>
      </c>
      <c r="C23" s="15" t="n">
        <f aca="false">SUMIFS(Transactions!$E$6:$E$188,Transactions!$G$6:$G$188,$A23,Transactions!$A$6:$A$188,"P2")</f>
        <v>673.45</v>
      </c>
      <c r="D23" s="15" t="n">
        <f aca="false">SUMIFS(Transactions!$E$6:$E$188,Transactions!$G$6:$G$188,$A23,Transactions!$A$6:$A$188,"P3")</f>
        <v>4305</v>
      </c>
      <c r="E23" s="15" t="n">
        <f aca="false">SUMIFS(Transactions!$E$6:$E$188,Transactions!$G$6:$G$188,$A23,Transactions!$A$6:$A$188,"P4")</f>
        <v>2582.71</v>
      </c>
      <c r="F23" s="15" t="n">
        <f aca="false">SUMIFS(Transactions!$E$6:$E$188,Transactions!$G$6:$G$188,$A23,Transactions!$A$6:$A$188,"P5")</f>
        <v>245.88</v>
      </c>
      <c r="G23" s="15" t="n">
        <f aca="false">SUM(B23:F23)</f>
        <v>9308.25</v>
      </c>
      <c r="H23" s="15" t="n">
        <f aca="false">AVERAGE(B23:E23)</f>
        <v>2265.5925</v>
      </c>
      <c r="I23" s="12"/>
      <c r="J23" s="11"/>
      <c r="K23" s="15" t="n">
        <f aca="false">INDEX(B23:F23,MATCH($B$4,$B$6:$F$6,0))</f>
        <v>2582.71</v>
      </c>
      <c r="L23" s="11"/>
      <c r="M23" s="13"/>
    </row>
    <row r="24" customFormat="false" ht="15" hidden="false" customHeight="false" outlineLevel="0" collapsed="false">
      <c r="A24" s="14" t="s">
        <v>46</v>
      </c>
      <c r="B24" s="15" t="n">
        <f aca="false">SUMIFS(Transactions!$E$6:$E$188,Transactions!$G$6:$G$188,$A24,Transactions!$A$6:$A$188,"P1")</f>
        <v>1125</v>
      </c>
      <c r="C24" s="15" t="n">
        <f aca="false">SUMIFS(Transactions!$E$6:$E$188,Transactions!$G$6:$G$188,$A24,Transactions!$A$6:$A$188,"P2")</f>
        <v>850</v>
      </c>
      <c r="D24" s="15" t="n">
        <f aca="false">SUMIFS(Transactions!$E$6:$E$188,Transactions!$G$6:$G$188,$A24,Transactions!$A$6:$A$188,"P3")</f>
        <v>450</v>
      </c>
      <c r="E24" s="15" t="n">
        <f aca="false">SUMIFS(Transactions!$E$6:$E$188,Transactions!$G$6:$G$188,$A24,Transactions!$A$6:$A$188,"P4")</f>
        <v>175</v>
      </c>
      <c r="F24" s="15" t="n">
        <f aca="false">SUMIFS(Transactions!$E$6:$E$188,Transactions!$G$6:$G$188,$A24,Transactions!$A$6:$A$188,"P5")</f>
        <v>200</v>
      </c>
      <c r="G24" s="15" t="n">
        <f aca="false">SUM(B24:F24)</f>
        <v>2800</v>
      </c>
      <c r="H24" s="15" t="n">
        <f aca="false">AVERAGE(B24:E24)</f>
        <v>650</v>
      </c>
      <c r="I24" s="12"/>
      <c r="J24" s="11"/>
      <c r="K24" s="15" t="n">
        <f aca="false">INDEX(B24:F24,MATCH($B$4,$B$6:$F$6,0))</f>
        <v>175</v>
      </c>
      <c r="L24" s="11"/>
      <c r="M24" s="13"/>
    </row>
    <row r="25" customFormat="false" ht="15" hidden="false" customHeight="false" outlineLevel="0" collapsed="false">
      <c r="A25" s="19" t="s">
        <v>47</v>
      </c>
      <c r="B25" s="20" t="n">
        <f aca="false">SUM(B23:B24)</f>
        <v>2626.21</v>
      </c>
      <c r="C25" s="20" t="n">
        <f aca="false">SUM(C23:C24)</f>
        <v>1523.45</v>
      </c>
      <c r="D25" s="20" t="n">
        <f aca="false">SUM(D23:D24)</f>
        <v>4755</v>
      </c>
      <c r="E25" s="20" t="n">
        <f aca="false">SUM(E23:E24)</f>
        <v>2757.71</v>
      </c>
      <c r="F25" s="20" t="n">
        <f aca="false">SUM(F23:F24)</f>
        <v>445.88</v>
      </c>
      <c r="G25" s="20" t="n">
        <f aca="false">SUM(G23:G24)</f>
        <v>12108.25</v>
      </c>
      <c r="H25" s="20" t="n">
        <f aca="false">SUM(H23:H24)</f>
        <v>2915.5925</v>
      </c>
      <c r="I25" s="21"/>
      <c r="J25" s="23"/>
      <c r="K25" s="20" t="n">
        <f aca="false">SUM(K23:K24)</f>
        <v>2757.71</v>
      </c>
      <c r="L25" s="23"/>
      <c r="M25" s="13"/>
    </row>
    <row r="26" customFormat="false" ht="15" hidden="false" customHeight="false" outlineLevel="0" collapsed="false">
      <c r="A26" s="22"/>
      <c r="B26" s="11"/>
      <c r="C26" s="11"/>
      <c r="D26" s="11"/>
      <c r="E26" s="11"/>
      <c r="F26" s="11"/>
      <c r="G26" s="11"/>
      <c r="H26" s="11"/>
      <c r="I26" s="12"/>
      <c r="J26" s="11"/>
      <c r="K26" s="11"/>
      <c r="L26" s="11"/>
      <c r="M26" s="13"/>
    </row>
    <row r="27" customFormat="false" ht="15" hidden="false" customHeight="false" outlineLevel="0" collapsed="false">
      <c r="A27" s="19" t="s">
        <v>48</v>
      </c>
      <c r="B27" s="20" t="n">
        <f aca="false">B25-B20</f>
        <v>587.53</v>
      </c>
      <c r="C27" s="20" t="n">
        <f aca="false">C25-C20</f>
        <v>-1217.99</v>
      </c>
      <c r="D27" s="20" t="n">
        <f aca="false">D25-D20</f>
        <v>913.53</v>
      </c>
      <c r="E27" s="20" t="n">
        <f aca="false">E25-E20</f>
        <v>-686.05</v>
      </c>
      <c r="F27" s="20" t="n">
        <f aca="false">F25-F20</f>
        <v>-491.54</v>
      </c>
      <c r="G27" s="20" t="n">
        <f aca="false">G25-G20</f>
        <v>-894.519999999999</v>
      </c>
      <c r="H27" s="20" t="n">
        <f aca="false">H25-H20</f>
        <v>-100.745</v>
      </c>
      <c r="I27" s="21"/>
      <c r="J27" s="23"/>
      <c r="K27" s="20" t="n">
        <f aca="false">K25-K20</f>
        <v>-686.05</v>
      </c>
      <c r="L27" s="23"/>
      <c r="M27" s="13"/>
    </row>
    <row r="29" customFormat="false" ht="15" hidden="false" customHeight="false" outlineLevel="0" collapsed="false">
      <c r="A29" s="6" t="s">
        <v>49</v>
      </c>
    </row>
    <row r="30" customFormat="false" ht="15" hidden="false" customHeight="false" outlineLevel="0" collapsed="false">
      <c r="A30" s="6" t="s">
        <v>50</v>
      </c>
    </row>
  </sheetData>
  <conditionalFormatting sqref="L8:L19">
    <cfRule type="cellIs" priority="2" operator="lessThan" aboveAverage="0" equalAverage="0" bottom="0" percent="0" rank="0" text="" dxfId="0">
      <formula>0</formula>
    </cfRule>
  </conditionalFormatting>
  <conditionalFormatting sqref="I8:I19">
    <cfRule type="dataBar" priority="3">
      <dataBar showValue="1" minLength="10" maxLength="90">
        <cfvo type="num" val="0"/>
        <cfvo type="num" val="1"/>
        <color rgb="FF3B82F6"/>
      </dataBar>
      <extLst>
        <ext xmlns:x14="http://schemas.microsoft.com/office/spreadsheetml/2009/9/main" uri="{B025F937-C7B1-47D3-B67F-A62EFF666E3E}">
          <x14:id>{D0FFB66F-D4C9-4F6A-B942-822C61D4B4A0}</x14:id>
        </ext>
      </extLst>
    </cfRule>
  </conditionalFormatting>
  <dataValidations count="1">
    <dataValidation allowBlank="false" errorStyle="stop" operator="between" showDropDown="false" showErrorMessage="false" showInputMessage="false" sqref="B4" type="list">
      <formula1>"P1,P2,P3,P4,P5"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0FFB66F-D4C9-4F6A-B942-822C61D4B4A0}">
            <x14:dataBar minLength="10" maxLength="90" axisPosition="none" gradient="true">
              <x14:cfvo type="num">
                <xm:f>0</xm:f>
              </x14:cfvo>
              <x14:cfvo type="num">
                <xm:f>1</xm:f>
              </x14:cfvo>
              <x14:negativeFillColor rgb="FF3B82F6"/>
              <x14:axisColor rgb="FF000000"/>
            </x14:dataBar>
          </x14:cfRule>
          <xm:sqref>I8:I19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46"/>
    <col collapsed="false" customWidth="true" hidden="false" outlineLevel="0" max="5" min="4" style="0" width="13"/>
    <col collapsed="false" customWidth="true" hidden="false" outlineLevel="0" max="6" min="6" style="0" width="12"/>
    <col collapsed="false" customWidth="true" hidden="false" outlineLevel="0" max="7" min="7" style="0" width="26"/>
    <col collapsed="false" customWidth="true" hidden="false" outlineLevel="0" max="8" min="8" style="0" width="10"/>
  </cols>
  <sheetData>
    <row r="1" customFormat="false" ht="17.35" hidden="false" customHeight="false" outlineLevel="0" collapsed="false">
      <c r="A1" s="5" t="s">
        <v>51</v>
      </c>
    </row>
    <row r="2" customFormat="false" ht="15" hidden="false" customHeight="false" outlineLevel="0" collapsed="false">
      <c r="A2" s="6" t="s">
        <v>52</v>
      </c>
    </row>
    <row r="3" customFormat="false" ht="15" hidden="false" customHeight="false" outlineLevel="0" collapsed="false">
      <c r="A3" s="7" t="s">
        <v>53</v>
      </c>
      <c r="D3" s="24" t="n">
        <v>2410</v>
      </c>
    </row>
    <row r="5" customFormat="false" ht="23.85" hidden="false" customHeight="false" outlineLevel="0" collapsed="false">
      <c r="A5" s="9" t="s">
        <v>54</v>
      </c>
      <c r="B5" s="9" t="s">
        <v>55</v>
      </c>
      <c r="C5" s="9" t="s">
        <v>56</v>
      </c>
      <c r="D5" s="9" t="s">
        <v>57</v>
      </c>
      <c r="E5" s="9" t="s">
        <v>58</v>
      </c>
      <c r="F5" s="9" t="s">
        <v>59</v>
      </c>
      <c r="G5" s="9" t="s">
        <v>18</v>
      </c>
      <c r="H5" s="9" t="s">
        <v>60</v>
      </c>
    </row>
    <row r="6" customFormat="false" ht="15" hidden="false" customHeight="false" outlineLevel="0" collapsed="false">
      <c r="A6" s="25" t="str">
        <f aca="false">INDEX(Reconciliation!$A$6:$A$10,MATCH(B6,Reconciliation!$B$6:$B$10,1))</f>
        <v>P1</v>
      </c>
      <c r="B6" s="26" t="n">
        <v>44702</v>
      </c>
      <c r="C6" s="25" t="s">
        <v>61</v>
      </c>
      <c r="D6" s="27" t="n">
        <v>95.06</v>
      </c>
      <c r="E6" s="27"/>
      <c r="F6" s="27" t="n">
        <f aca="false">$D$3-N(D6)+N(E6)</f>
        <v>2314.94</v>
      </c>
      <c r="G6" s="25" t="str">
        <f aca="false">IFERROR(LOOKUP(2^15,SEARCH('Category Rules'!$A$5:$A$23,C6),'Category Rules'!$B$5:$B$23),"Uncategorised")</f>
        <v>Stock and supplies</v>
      </c>
      <c r="H6" s="25" t="str">
        <f aca="false">TEXT(B6,"mmm yyyy")</f>
        <v>May 2022</v>
      </c>
    </row>
    <row r="7" customFormat="false" ht="15" hidden="false" customHeight="false" outlineLevel="0" collapsed="false">
      <c r="A7" s="25" t="str">
        <f aca="false">INDEX(Reconciliation!$A$6:$A$10,MATCH(B7,Reconciliation!$B$6:$B$10,1))</f>
        <v>P1</v>
      </c>
      <c r="B7" s="26" t="n">
        <v>44702</v>
      </c>
      <c r="C7" s="25" t="s">
        <v>62</v>
      </c>
      <c r="D7" s="27"/>
      <c r="E7" s="27" t="n">
        <v>353.78</v>
      </c>
      <c r="F7" s="27" t="n">
        <f aca="false">F6-N(D7)+N(E7)</f>
        <v>2668.72</v>
      </c>
      <c r="G7" s="25" t="str">
        <f aca="false">IFERROR(LOOKUP(2^15,SEARCH('Category Rules'!$A$5:$A$23,C7),'Category Rules'!$B$5:$B$23),"Uncategorised")</f>
        <v>Income: client receipts</v>
      </c>
      <c r="H7" s="25" t="str">
        <f aca="false">TEXT(B7,"mmm yyyy")</f>
        <v>May 2022</v>
      </c>
    </row>
    <row r="8" customFormat="false" ht="15" hidden="false" customHeight="false" outlineLevel="0" collapsed="false">
      <c r="A8" s="25" t="str">
        <f aca="false">INDEX(Reconciliation!$A$6:$A$10,MATCH(B8,Reconciliation!$B$6:$B$10,1))</f>
        <v>P1</v>
      </c>
      <c r="B8" s="26" t="n">
        <v>44703</v>
      </c>
      <c r="C8" s="25" t="s">
        <v>63</v>
      </c>
      <c r="D8" s="27" t="n">
        <v>14.88</v>
      </c>
      <c r="E8" s="27"/>
      <c r="F8" s="27" t="n">
        <f aca="false">F7-N(D8)+N(E8)</f>
        <v>2653.84</v>
      </c>
      <c r="G8" s="25" t="str">
        <f aca="false">IFERROR(LOOKUP(2^15,SEARCH('Category Rules'!$A$5:$A$23,C8),'Category Rules'!$B$5:$B$23),"Uncategorised")</f>
        <v>Donations</v>
      </c>
      <c r="H8" s="25" t="str">
        <f aca="false">TEXT(B8,"mmm yyyy")</f>
        <v>May 2022</v>
      </c>
    </row>
    <row r="9" customFormat="false" ht="15" hidden="false" customHeight="false" outlineLevel="0" collapsed="false">
      <c r="A9" s="25" t="str">
        <f aca="false">INDEX(Reconciliation!$A$6:$A$10,MATCH(B9,Reconciliation!$B$6:$B$10,1))</f>
        <v>P1</v>
      </c>
      <c r="B9" s="26" t="n">
        <v>44704</v>
      </c>
      <c r="C9" s="25" t="s">
        <v>62</v>
      </c>
      <c r="D9" s="27"/>
      <c r="E9" s="27" t="n">
        <v>74.91</v>
      </c>
      <c r="F9" s="27" t="n">
        <f aca="false">F8-N(D9)+N(E9)</f>
        <v>2728.75</v>
      </c>
      <c r="G9" s="25" t="str">
        <f aca="false">IFERROR(LOOKUP(2^15,SEARCH('Category Rules'!$A$5:$A$23,C9),'Category Rules'!$B$5:$B$23),"Uncategorised")</f>
        <v>Income: client receipts</v>
      </c>
      <c r="H9" s="25" t="str">
        <f aca="false">TEXT(B9,"mmm yyyy")</f>
        <v>May 2022</v>
      </c>
    </row>
    <row r="10" customFormat="false" ht="15" hidden="false" customHeight="false" outlineLevel="0" collapsed="false">
      <c r="A10" s="25" t="str">
        <f aca="false">INDEX(Reconciliation!$A$6:$A$10,MATCH(B10,Reconciliation!$B$6:$B$10,1))</f>
        <v>P1</v>
      </c>
      <c r="B10" s="26" t="n">
        <v>44704</v>
      </c>
      <c r="C10" s="25" t="s">
        <v>64</v>
      </c>
      <c r="D10" s="27" t="n">
        <v>300</v>
      </c>
      <c r="E10" s="27"/>
      <c r="F10" s="27" t="n">
        <f aca="false">F9-N(D10)+N(E10)</f>
        <v>2428.75</v>
      </c>
      <c r="G10" s="25" t="str">
        <f aca="false">IFERROR(LOOKUP(2^15,SEARCH('Category Rules'!$A$5:$A$23,C10),'Category Rules'!$B$5:$B$23),"Uncategorised")</f>
        <v>Transfers out</v>
      </c>
      <c r="H10" s="25" t="str">
        <f aca="false">TEXT(B10,"mmm yyyy")</f>
        <v>May 2022</v>
      </c>
    </row>
    <row r="11" customFormat="false" ht="15" hidden="false" customHeight="false" outlineLevel="0" collapsed="false">
      <c r="A11" s="25" t="str">
        <f aca="false">INDEX(Reconciliation!$A$6:$A$10,MATCH(B11,Reconciliation!$B$6:$B$10,1))</f>
        <v>P1</v>
      </c>
      <c r="B11" s="26" t="n">
        <v>44705</v>
      </c>
      <c r="C11" s="25" t="s">
        <v>65</v>
      </c>
      <c r="D11" s="27" t="n">
        <v>23.31</v>
      </c>
      <c r="E11" s="27"/>
      <c r="F11" s="27" t="n">
        <f aca="false">F10-N(D11)+N(E11)</f>
        <v>2405.44</v>
      </c>
      <c r="G11" s="25" t="str">
        <f aca="false">IFERROR(LOOKUP(2^15,SEARCH('Category Rules'!$A$5:$A$23,C11),'Category Rules'!$B$5:$B$23),"Uncategorised")</f>
        <v>Office and equipment</v>
      </c>
      <c r="H11" s="25" t="str">
        <f aca="false">TEXT(B11,"mmm yyyy")</f>
        <v>May 2022</v>
      </c>
    </row>
    <row r="12" customFormat="false" ht="15" hidden="false" customHeight="false" outlineLevel="0" collapsed="false">
      <c r="A12" s="25" t="str">
        <f aca="false">INDEX(Reconciliation!$A$6:$A$10,MATCH(B12,Reconciliation!$B$6:$B$10,1))</f>
        <v>P1</v>
      </c>
      <c r="B12" s="26" t="n">
        <v>44706</v>
      </c>
      <c r="C12" s="25" t="s">
        <v>66</v>
      </c>
      <c r="D12" s="27" t="n">
        <v>1.41</v>
      </c>
      <c r="E12" s="27"/>
      <c r="F12" s="27" t="n">
        <f aca="false">F11-N(D12)+N(E12)</f>
        <v>2404.03</v>
      </c>
      <c r="G12" s="25" t="str">
        <f aca="false">IFERROR(LOOKUP(2^15,SEARCH('Category Rules'!$A$5:$A$23,C12),'Category Rules'!$B$5:$B$23),"Uncategorised")</f>
        <v>Meals and subsistence</v>
      </c>
      <c r="H12" s="25" t="str">
        <f aca="false">TEXT(B12,"mmm yyyy")</f>
        <v>May 2022</v>
      </c>
    </row>
    <row r="13" customFormat="false" ht="15" hidden="false" customHeight="false" outlineLevel="0" collapsed="false">
      <c r="A13" s="25" t="str">
        <f aca="false">INDEX(Reconciliation!$A$6:$A$10,MATCH(B13,Reconciliation!$B$6:$B$10,1))</f>
        <v>P1</v>
      </c>
      <c r="B13" s="26" t="n">
        <v>44707</v>
      </c>
      <c r="C13" s="25" t="s">
        <v>67</v>
      </c>
      <c r="D13" s="27"/>
      <c r="E13" s="27" t="n">
        <v>50</v>
      </c>
      <c r="F13" s="27" t="n">
        <f aca="false">F12-N(D13)+N(E13)</f>
        <v>2454.03</v>
      </c>
      <c r="G13" s="25" t="str">
        <f aca="false">IFERROR(LOOKUP(2^15,SEARCH('Category Rules'!$A$5:$A$23,C13),'Category Rules'!$B$5:$B$23),"Uncategorised")</f>
        <v>Income: transfers in</v>
      </c>
      <c r="H13" s="25" t="str">
        <f aca="false">TEXT(B13,"mmm yyyy")</f>
        <v>May 2022</v>
      </c>
    </row>
    <row r="14" customFormat="false" ht="15" hidden="false" customHeight="false" outlineLevel="0" collapsed="false">
      <c r="A14" s="25" t="str">
        <f aca="false">INDEX(Reconciliation!$A$6:$A$10,MATCH(B14,Reconciliation!$B$6:$B$10,1))</f>
        <v>P1</v>
      </c>
      <c r="B14" s="26" t="n">
        <v>44707</v>
      </c>
      <c r="C14" s="25" t="s">
        <v>68</v>
      </c>
      <c r="D14" s="27" t="n">
        <v>66.79</v>
      </c>
      <c r="E14" s="27"/>
      <c r="F14" s="27" t="n">
        <f aca="false">F13-N(D14)+N(E14)</f>
        <v>2387.24</v>
      </c>
      <c r="G14" s="25" t="str">
        <f aca="false">IFERROR(LOOKUP(2^15,SEARCH('Category Rules'!$A$5:$A$23,C14),'Category Rules'!$B$5:$B$23),"Uncategorised")</f>
        <v>Fuel and vehicle</v>
      </c>
      <c r="H14" s="25" t="str">
        <f aca="false">TEXT(B14,"mmm yyyy")</f>
        <v>May 2022</v>
      </c>
    </row>
    <row r="15" customFormat="false" ht="15" hidden="false" customHeight="false" outlineLevel="0" collapsed="false">
      <c r="A15" s="25" t="str">
        <f aca="false">INDEX(Reconciliation!$A$6:$A$10,MATCH(B15,Reconciliation!$B$6:$B$10,1))</f>
        <v>P1</v>
      </c>
      <c r="B15" s="26" t="n">
        <v>44707</v>
      </c>
      <c r="C15" s="25" t="s">
        <v>67</v>
      </c>
      <c r="D15" s="27"/>
      <c r="E15" s="27" t="n">
        <v>50</v>
      </c>
      <c r="F15" s="27" t="n">
        <f aca="false">F14-N(D15)+N(E15)</f>
        <v>2437.24</v>
      </c>
      <c r="G15" s="25" t="str">
        <f aca="false">IFERROR(LOOKUP(2^15,SEARCH('Category Rules'!$A$5:$A$23,C15),'Category Rules'!$B$5:$B$23),"Uncategorised")</f>
        <v>Income: transfers in</v>
      </c>
      <c r="H15" s="25" t="str">
        <f aca="false">TEXT(B15,"mmm yyyy")</f>
        <v>May 2022</v>
      </c>
    </row>
    <row r="16" customFormat="false" ht="15" hidden="false" customHeight="false" outlineLevel="0" collapsed="false">
      <c r="A16" s="25" t="str">
        <f aca="false">INDEX(Reconciliation!$A$6:$A$10,MATCH(B16,Reconciliation!$B$6:$B$10,1))</f>
        <v>P1</v>
      </c>
      <c r="B16" s="26" t="n">
        <v>44708</v>
      </c>
      <c r="C16" s="25" t="s">
        <v>62</v>
      </c>
      <c r="D16" s="27"/>
      <c r="E16" s="27" t="n">
        <v>406.62</v>
      </c>
      <c r="F16" s="27" t="n">
        <f aca="false">F15-N(D16)+N(E16)</f>
        <v>2843.86</v>
      </c>
      <c r="G16" s="25" t="str">
        <f aca="false">IFERROR(LOOKUP(2^15,SEARCH('Category Rules'!$A$5:$A$23,C16),'Category Rules'!$B$5:$B$23),"Uncategorised")</f>
        <v>Income: client receipts</v>
      </c>
      <c r="H16" s="25" t="str">
        <f aca="false">TEXT(B16,"mmm yyyy")</f>
        <v>May 2022</v>
      </c>
    </row>
    <row r="17" customFormat="false" ht="15" hidden="false" customHeight="false" outlineLevel="0" collapsed="false">
      <c r="A17" s="25" t="str">
        <f aca="false">INDEX(Reconciliation!$A$6:$A$10,MATCH(B17,Reconciliation!$B$6:$B$10,1))</f>
        <v>P1</v>
      </c>
      <c r="B17" s="26" t="n">
        <v>44710</v>
      </c>
      <c r="C17" s="25" t="s">
        <v>69</v>
      </c>
      <c r="D17" s="27" t="n">
        <v>45.5</v>
      </c>
      <c r="E17" s="27"/>
      <c r="F17" s="27" t="n">
        <f aca="false">F16-N(D17)+N(E17)</f>
        <v>2798.36</v>
      </c>
      <c r="G17" s="25" t="str">
        <f aca="false">IFERROR(LOOKUP(2^15,SEARCH('Category Rules'!$A$5:$A$23,C17),'Category Rules'!$B$5:$B$23),"Uncategorised")</f>
        <v>Office and equipment</v>
      </c>
      <c r="H17" s="25" t="str">
        <f aca="false">TEXT(B17,"mmm yyyy")</f>
        <v>May 2022</v>
      </c>
    </row>
    <row r="18" customFormat="false" ht="15" hidden="false" customHeight="false" outlineLevel="0" collapsed="false">
      <c r="A18" s="25" t="str">
        <f aca="false">INDEX(Reconciliation!$A$6:$A$10,MATCH(B18,Reconciliation!$B$6:$B$10,1))</f>
        <v>P1</v>
      </c>
      <c r="B18" s="26" t="n">
        <v>44710</v>
      </c>
      <c r="C18" s="25" t="s">
        <v>70</v>
      </c>
      <c r="D18" s="27" t="n">
        <v>9.27</v>
      </c>
      <c r="E18" s="27"/>
      <c r="F18" s="27" t="n">
        <f aca="false">F17-N(D18)+N(E18)</f>
        <v>2789.09</v>
      </c>
      <c r="G18" s="25" t="str">
        <f aca="false">IFERROR(LOOKUP(2^15,SEARCH('Category Rules'!$A$5:$A$23,C18),'Category Rules'!$B$5:$B$23),"Uncategorised")</f>
        <v>Health and welfare</v>
      </c>
      <c r="H18" s="25" t="str">
        <f aca="false">TEXT(B18,"mmm yyyy")</f>
        <v>May 2022</v>
      </c>
    </row>
    <row r="19" customFormat="false" ht="15" hidden="false" customHeight="false" outlineLevel="0" collapsed="false">
      <c r="A19" s="25" t="str">
        <f aca="false">INDEX(Reconciliation!$A$6:$A$10,MATCH(B19,Reconciliation!$B$6:$B$10,1))</f>
        <v>P1</v>
      </c>
      <c r="B19" s="26" t="n">
        <v>44711</v>
      </c>
      <c r="C19" s="25" t="s">
        <v>71</v>
      </c>
      <c r="D19" s="27" t="n">
        <v>8.2</v>
      </c>
      <c r="E19" s="27"/>
      <c r="F19" s="27" t="n">
        <f aca="false">F18-N(D19)+N(E19)</f>
        <v>2780.89</v>
      </c>
      <c r="G19" s="25" t="str">
        <f aca="false">IFERROR(LOOKUP(2^15,SEARCH('Category Rules'!$A$5:$A$23,C19),'Category Rules'!$B$5:$B$23),"Uncategorised")</f>
        <v>Subscriptions and utilities</v>
      </c>
      <c r="H19" s="25" t="str">
        <f aca="false">TEXT(B19,"mmm yyyy")</f>
        <v>May 2022</v>
      </c>
    </row>
    <row r="20" customFormat="false" ht="15" hidden="false" customHeight="false" outlineLevel="0" collapsed="false">
      <c r="A20" s="25" t="str">
        <f aca="false">INDEX(Reconciliation!$A$6:$A$10,MATCH(B20,Reconciliation!$B$6:$B$10,1))</f>
        <v>P1</v>
      </c>
      <c r="B20" s="26" t="n">
        <v>44711</v>
      </c>
      <c r="C20" s="25" t="s">
        <v>72</v>
      </c>
      <c r="D20" s="27" t="n">
        <v>22.36</v>
      </c>
      <c r="E20" s="27"/>
      <c r="F20" s="27" t="n">
        <f aca="false">F19-N(D20)+N(E20)</f>
        <v>2758.53</v>
      </c>
      <c r="G20" s="25" t="str">
        <f aca="false">IFERROR(LOOKUP(2^15,SEARCH('Category Rules'!$A$5:$A$23,C20),'Category Rules'!$B$5:$B$23),"Uncategorised")</f>
        <v>Donations</v>
      </c>
      <c r="H20" s="25" t="str">
        <f aca="false">TEXT(B20,"mmm yyyy")</f>
        <v>May 2022</v>
      </c>
    </row>
    <row r="21" customFormat="false" ht="15" hidden="false" customHeight="false" outlineLevel="0" collapsed="false">
      <c r="A21" s="25" t="str">
        <f aca="false">INDEX(Reconciliation!$A$6:$A$10,MATCH(B21,Reconciliation!$B$6:$B$10,1))</f>
        <v>P1</v>
      </c>
      <c r="B21" s="26" t="n">
        <v>44713</v>
      </c>
      <c r="C21" s="25" t="s">
        <v>73</v>
      </c>
      <c r="D21" s="27" t="n">
        <v>2.35</v>
      </c>
      <c r="E21" s="27"/>
      <c r="F21" s="27" t="n">
        <f aca="false">F20-N(D21)+N(E21)</f>
        <v>2756.18</v>
      </c>
      <c r="G21" s="25" t="str">
        <f aca="false">IFERROR(LOOKUP(2^15,SEARCH('Category Rules'!$A$5:$A$23,C21),'Category Rules'!$B$5:$B$23),"Uncategorised")</f>
        <v>Donations</v>
      </c>
      <c r="H21" s="25" t="str">
        <f aca="false">TEXT(B21,"mmm yyyy")</f>
        <v>Jun 2022</v>
      </c>
    </row>
    <row r="22" customFormat="false" ht="15" hidden="false" customHeight="false" outlineLevel="0" collapsed="false">
      <c r="A22" s="25" t="str">
        <f aca="false">INDEX(Reconciliation!$A$6:$A$10,MATCH(B22,Reconciliation!$B$6:$B$10,1))</f>
        <v>P1</v>
      </c>
      <c r="B22" s="26" t="n">
        <v>44714</v>
      </c>
      <c r="C22" s="25" t="s">
        <v>74</v>
      </c>
      <c r="D22" s="27" t="n">
        <v>77.63</v>
      </c>
      <c r="E22" s="27"/>
      <c r="F22" s="27" t="n">
        <f aca="false">F21-N(D22)+N(E22)</f>
        <v>2678.55</v>
      </c>
      <c r="G22" s="25" t="str">
        <f aca="false">IFERROR(LOOKUP(2^15,SEARCH('Category Rules'!$A$5:$A$23,C22),'Category Rules'!$B$5:$B$23),"Uncategorised")</f>
        <v>Stock and supplies</v>
      </c>
      <c r="H22" s="25" t="str">
        <f aca="false">TEXT(B22,"mmm yyyy")</f>
        <v>Jun 2022</v>
      </c>
    </row>
    <row r="23" customFormat="false" ht="15" hidden="false" customHeight="false" outlineLevel="0" collapsed="false">
      <c r="A23" s="25" t="str">
        <f aca="false">INDEX(Reconciliation!$A$6:$A$10,MATCH(B23,Reconciliation!$B$6:$B$10,1))</f>
        <v>P1</v>
      </c>
      <c r="B23" s="26" t="n">
        <v>44714</v>
      </c>
      <c r="C23" s="25" t="s">
        <v>75</v>
      </c>
      <c r="D23" s="27" t="n">
        <v>22.96</v>
      </c>
      <c r="E23" s="27"/>
      <c r="F23" s="27" t="n">
        <f aca="false">F22-N(D23)+N(E23)</f>
        <v>2655.59</v>
      </c>
      <c r="G23" s="25" t="str">
        <f aca="false">IFERROR(LOOKUP(2^15,SEARCH('Category Rules'!$A$5:$A$23,C23),'Category Rules'!$B$5:$B$23),"Uncategorised")</f>
        <v>Stock and supplies</v>
      </c>
      <c r="H23" s="25" t="str">
        <f aca="false">TEXT(B23,"mmm yyyy")</f>
        <v>Jun 2022</v>
      </c>
    </row>
    <row r="24" customFormat="false" ht="15" hidden="false" customHeight="false" outlineLevel="0" collapsed="false">
      <c r="A24" s="25" t="str">
        <f aca="false">INDEX(Reconciliation!$A$6:$A$10,MATCH(B24,Reconciliation!$B$6:$B$10,1))</f>
        <v>P1</v>
      </c>
      <c r="B24" s="26" t="n">
        <v>44715</v>
      </c>
      <c r="C24" s="25" t="s">
        <v>62</v>
      </c>
      <c r="D24" s="27"/>
      <c r="E24" s="27" t="n">
        <v>329.44</v>
      </c>
      <c r="F24" s="27" t="n">
        <f aca="false">F23-N(D24)+N(E24)</f>
        <v>2985.03</v>
      </c>
      <c r="G24" s="25" t="str">
        <f aca="false">IFERROR(LOOKUP(2^15,SEARCH('Category Rules'!$A$5:$A$23,C24),'Category Rules'!$B$5:$B$23),"Uncategorised")</f>
        <v>Income: client receipts</v>
      </c>
      <c r="H24" s="25" t="str">
        <f aca="false">TEXT(B24,"mmm yyyy")</f>
        <v>Jun 2022</v>
      </c>
    </row>
    <row r="25" customFormat="false" ht="15" hidden="false" customHeight="false" outlineLevel="0" collapsed="false">
      <c r="A25" s="25" t="str">
        <f aca="false">INDEX(Reconciliation!$A$6:$A$10,MATCH(B25,Reconciliation!$B$6:$B$10,1))</f>
        <v>P1</v>
      </c>
      <c r="B25" s="26" t="n">
        <v>44716</v>
      </c>
      <c r="C25" s="25" t="s">
        <v>64</v>
      </c>
      <c r="D25" s="27" t="n">
        <v>25</v>
      </c>
      <c r="E25" s="27"/>
      <c r="F25" s="27" t="n">
        <f aca="false">F24-N(D25)+N(E25)</f>
        <v>2960.03</v>
      </c>
      <c r="G25" s="25" t="str">
        <f aca="false">IFERROR(LOOKUP(2^15,SEARCH('Category Rules'!$A$5:$A$23,C25),'Category Rules'!$B$5:$B$23),"Uncategorised")</f>
        <v>Transfers out</v>
      </c>
      <c r="H25" s="25" t="str">
        <f aca="false">TEXT(B25,"mmm yyyy")</f>
        <v>Jun 2022</v>
      </c>
    </row>
    <row r="26" customFormat="false" ht="15" hidden="false" customHeight="false" outlineLevel="0" collapsed="false">
      <c r="A26" s="25" t="str">
        <f aca="false">INDEX(Reconciliation!$A$6:$A$10,MATCH(B26,Reconciliation!$B$6:$B$10,1))</f>
        <v>P1</v>
      </c>
      <c r="B26" s="26" t="n">
        <v>44716</v>
      </c>
      <c r="C26" s="25" t="s">
        <v>67</v>
      </c>
      <c r="D26" s="27"/>
      <c r="E26" s="27" t="n">
        <v>25</v>
      </c>
      <c r="F26" s="27" t="n">
        <f aca="false">F25-N(D26)+N(E26)</f>
        <v>2985.03</v>
      </c>
      <c r="G26" s="25" t="str">
        <f aca="false">IFERROR(LOOKUP(2^15,SEARCH('Category Rules'!$A$5:$A$23,C26),'Category Rules'!$B$5:$B$23),"Uncategorised")</f>
        <v>Income: transfers in</v>
      </c>
      <c r="H26" s="25" t="str">
        <f aca="false">TEXT(B26,"mmm yyyy")</f>
        <v>Jun 2022</v>
      </c>
    </row>
    <row r="27" customFormat="false" ht="15" hidden="false" customHeight="false" outlineLevel="0" collapsed="false">
      <c r="A27" s="25" t="str">
        <f aca="false">INDEX(Reconciliation!$A$6:$A$10,MATCH(B27,Reconciliation!$B$6:$B$10,1))</f>
        <v>P1</v>
      </c>
      <c r="B27" s="26" t="n">
        <v>44716</v>
      </c>
      <c r="C27" s="25" t="s">
        <v>76</v>
      </c>
      <c r="D27" s="27" t="n">
        <v>66.78</v>
      </c>
      <c r="E27" s="27"/>
      <c r="F27" s="27" t="n">
        <f aca="false">F26-N(D27)+N(E27)</f>
        <v>2918.25</v>
      </c>
      <c r="G27" s="25" t="str">
        <f aca="false">IFERROR(LOOKUP(2^15,SEARCH('Category Rules'!$A$5:$A$23,C27),'Category Rules'!$B$5:$B$23),"Uncategorised")</f>
        <v>Fuel and vehicle</v>
      </c>
      <c r="H27" s="25" t="str">
        <f aca="false">TEXT(B27,"mmm yyyy")</f>
        <v>Jun 2022</v>
      </c>
    </row>
    <row r="28" customFormat="false" ht="15" hidden="false" customHeight="false" outlineLevel="0" collapsed="false">
      <c r="A28" s="25" t="str">
        <f aca="false">INDEX(Reconciliation!$A$6:$A$10,MATCH(B28,Reconciliation!$B$6:$B$10,1))</f>
        <v>P1</v>
      </c>
      <c r="B28" s="26" t="n">
        <v>44716</v>
      </c>
      <c r="C28" s="25" t="s">
        <v>77</v>
      </c>
      <c r="D28" s="27" t="n">
        <v>55.67</v>
      </c>
      <c r="E28" s="27"/>
      <c r="F28" s="27" t="n">
        <f aca="false">F27-N(D28)+N(E28)</f>
        <v>2862.58</v>
      </c>
      <c r="G28" s="25" t="str">
        <f aca="false">IFERROR(LOOKUP(2^15,SEARCH('Category Rules'!$A$5:$A$23,C28),'Category Rules'!$B$5:$B$23),"Uncategorised")</f>
        <v>Fuel and vehicle</v>
      </c>
      <c r="H28" s="25" t="str">
        <f aca="false">TEXT(B28,"mmm yyyy")</f>
        <v>Jun 2022</v>
      </c>
    </row>
    <row r="29" customFormat="false" ht="15" hidden="false" customHeight="false" outlineLevel="0" collapsed="false">
      <c r="A29" s="25" t="str">
        <f aca="false">INDEX(Reconciliation!$A$6:$A$10,MATCH(B29,Reconciliation!$B$6:$B$10,1))</f>
        <v>P1</v>
      </c>
      <c r="B29" s="26" t="n">
        <v>44716</v>
      </c>
      <c r="C29" s="25" t="s">
        <v>78</v>
      </c>
      <c r="D29" s="27" t="n">
        <v>87.27</v>
      </c>
      <c r="E29" s="27"/>
      <c r="F29" s="27" t="n">
        <f aca="false">F28-N(D29)+N(E29)</f>
        <v>2775.31</v>
      </c>
      <c r="G29" s="25" t="str">
        <f aca="false">IFERROR(LOOKUP(2^15,SEARCH('Category Rules'!$A$5:$A$23,C29),'Category Rules'!$B$5:$B$23),"Uncategorised")</f>
        <v>Fuel and vehicle</v>
      </c>
      <c r="H29" s="25" t="str">
        <f aca="false">TEXT(B29,"mmm yyyy")</f>
        <v>Jun 2022</v>
      </c>
    </row>
    <row r="30" customFormat="false" ht="15" hidden="false" customHeight="false" outlineLevel="0" collapsed="false">
      <c r="A30" s="25" t="str">
        <f aca="false">INDEX(Reconciliation!$A$6:$A$10,MATCH(B30,Reconciliation!$B$6:$B$10,1))</f>
        <v>P1</v>
      </c>
      <c r="B30" s="26" t="n">
        <v>44716</v>
      </c>
      <c r="C30" s="25" t="s">
        <v>79</v>
      </c>
      <c r="D30" s="27" t="n">
        <v>4.08</v>
      </c>
      <c r="E30" s="27"/>
      <c r="F30" s="27" t="n">
        <f aca="false">F29-N(D30)+N(E30)</f>
        <v>2771.23</v>
      </c>
      <c r="G30" s="25" t="str">
        <f aca="false">IFERROR(LOOKUP(2^15,SEARCH('Category Rules'!$A$5:$A$23,C30),'Category Rules'!$B$5:$B$23),"Uncategorised")</f>
        <v>Parking</v>
      </c>
      <c r="H30" s="25" t="str">
        <f aca="false">TEXT(B30,"mmm yyyy")</f>
        <v>Jun 2022</v>
      </c>
    </row>
    <row r="31" customFormat="false" ht="15" hidden="false" customHeight="false" outlineLevel="0" collapsed="false">
      <c r="A31" s="25" t="str">
        <f aca="false">INDEX(Reconciliation!$A$6:$A$10,MATCH(B31,Reconciliation!$B$6:$B$10,1))</f>
        <v>P1</v>
      </c>
      <c r="B31" s="26" t="n">
        <v>44717</v>
      </c>
      <c r="C31" s="25" t="s">
        <v>80</v>
      </c>
      <c r="D31" s="27" t="n">
        <v>8.5</v>
      </c>
      <c r="E31" s="27"/>
      <c r="F31" s="27" t="n">
        <f aca="false">F30-N(D31)+N(E31)</f>
        <v>2762.73</v>
      </c>
      <c r="G31" s="25" t="str">
        <f aca="false">IFERROR(LOOKUP(2^15,SEARCH('Category Rules'!$A$5:$A$23,C31),'Category Rules'!$B$5:$B$23),"Uncategorised")</f>
        <v>Bank charges</v>
      </c>
      <c r="H31" s="25" t="str">
        <f aca="false">TEXT(B31,"mmm yyyy")</f>
        <v>Jun 2022</v>
      </c>
    </row>
    <row r="32" customFormat="false" ht="15" hidden="false" customHeight="false" outlineLevel="0" collapsed="false">
      <c r="A32" s="25" t="str">
        <f aca="false">INDEX(Reconciliation!$A$6:$A$10,MATCH(B32,Reconciliation!$B$6:$B$10,1))</f>
        <v>P1</v>
      </c>
      <c r="B32" s="26" t="n">
        <v>44718</v>
      </c>
      <c r="C32" s="25" t="s">
        <v>81</v>
      </c>
      <c r="D32" s="27" t="n">
        <v>2.98</v>
      </c>
      <c r="E32" s="27"/>
      <c r="F32" s="27" t="n">
        <f aca="false">F31-N(D32)+N(E32)</f>
        <v>2759.75</v>
      </c>
      <c r="G32" s="25" t="str">
        <f aca="false">IFERROR(LOOKUP(2^15,SEARCH('Category Rules'!$A$5:$A$23,C32),'Category Rules'!$B$5:$B$23),"Uncategorised")</f>
        <v>Donations</v>
      </c>
      <c r="H32" s="25" t="str">
        <f aca="false">TEXT(B32,"mmm yyyy")</f>
        <v>Jun 2022</v>
      </c>
    </row>
    <row r="33" customFormat="false" ht="15" hidden="false" customHeight="false" outlineLevel="0" collapsed="false">
      <c r="A33" s="25" t="str">
        <f aca="false">INDEX(Reconciliation!$A$6:$A$10,MATCH(B33,Reconciliation!$B$6:$B$10,1))</f>
        <v>P1</v>
      </c>
      <c r="B33" s="26" t="n">
        <v>44718</v>
      </c>
      <c r="C33" s="25" t="s">
        <v>76</v>
      </c>
      <c r="D33" s="27" t="n">
        <v>56.55</v>
      </c>
      <c r="E33" s="27"/>
      <c r="F33" s="27" t="n">
        <f aca="false">F32-N(D33)+N(E33)</f>
        <v>2703.2</v>
      </c>
      <c r="G33" s="25" t="str">
        <f aca="false">IFERROR(LOOKUP(2^15,SEARCH('Category Rules'!$A$5:$A$23,C33),'Category Rules'!$B$5:$B$23),"Uncategorised")</f>
        <v>Fuel and vehicle</v>
      </c>
      <c r="H33" s="25" t="str">
        <f aca="false">TEXT(B33,"mmm yyyy")</f>
        <v>Jun 2022</v>
      </c>
    </row>
    <row r="34" customFormat="false" ht="15" hidden="false" customHeight="false" outlineLevel="0" collapsed="false">
      <c r="A34" s="25" t="str">
        <f aca="false">INDEX(Reconciliation!$A$6:$A$10,MATCH(B34,Reconciliation!$B$6:$B$10,1))</f>
        <v>P1</v>
      </c>
      <c r="B34" s="26" t="n">
        <v>44719</v>
      </c>
      <c r="C34" s="25" t="s">
        <v>82</v>
      </c>
      <c r="D34" s="27" t="n">
        <v>8.69</v>
      </c>
      <c r="E34" s="27"/>
      <c r="F34" s="27" t="n">
        <f aca="false">F33-N(D34)+N(E34)</f>
        <v>2694.51</v>
      </c>
      <c r="G34" s="25" t="str">
        <f aca="false">IFERROR(LOOKUP(2^15,SEARCH('Category Rules'!$A$5:$A$23,C34),'Category Rules'!$B$5:$B$23),"Uncategorised")</f>
        <v>Meals and subsistence</v>
      </c>
      <c r="H34" s="25" t="str">
        <f aca="false">TEXT(B34,"mmm yyyy")</f>
        <v>Jun 2022</v>
      </c>
    </row>
    <row r="35" customFormat="false" ht="15" hidden="false" customHeight="false" outlineLevel="0" collapsed="false">
      <c r="A35" s="25" t="str">
        <f aca="false">INDEX(Reconciliation!$A$6:$A$10,MATCH(B35,Reconciliation!$B$6:$B$10,1))</f>
        <v>P1</v>
      </c>
      <c r="B35" s="26" t="n">
        <v>44720</v>
      </c>
      <c r="C35" s="25" t="s">
        <v>83</v>
      </c>
      <c r="D35" s="27" t="n">
        <v>7.29</v>
      </c>
      <c r="E35" s="27"/>
      <c r="F35" s="27" t="n">
        <f aca="false">F34-N(D35)+N(E35)</f>
        <v>2687.22</v>
      </c>
      <c r="G35" s="25" t="str">
        <f aca="false">IFERROR(LOOKUP(2^15,SEARCH('Category Rules'!$A$5:$A$23,C35),'Category Rules'!$B$5:$B$23),"Uncategorised")</f>
        <v>Meals and subsistence</v>
      </c>
      <c r="H35" s="25" t="str">
        <f aca="false">TEXT(B35,"mmm yyyy")</f>
        <v>Jun 2022</v>
      </c>
    </row>
    <row r="36" customFormat="false" ht="15" hidden="false" customHeight="false" outlineLevel="0" collapsed="false">
      <c r="A36" s="25" t="str">
        <f aca="false">INDEX(Reconciliation!$A$6:$A$10,MATCH(B36,Reconciliation!$B$6:$B$10,1))</f>
        <v>P1</v>
      </c>
      <c r="B36" s="26" t="n">
        <v>44723</v>
      </c>
      <c r="C36" s="25" t="s">
        <v>84</v>
      </c>
      <c r="D36" s="27" t="n">
        <v>18.4</v>
      </c>
      <c r="E36" s="27"/>
      <c r="F36" s="27" t="n">
        <f aca="false">F35-N(D36)+N(E36)</f>
        <v>2668.82</v>
      </c>
      <c r="G36" s="25" t="str">
        <f aca="false">IFERROR(LOOKUP(2^15,SEARCH('Category Rules'!$A$5:$A$23,C36),'Category Rules'!$B$5:$B$23),"Uncategorised")</f>
        <v>Donations</v>
      </c>
      <c r="H36" s="25" t="str">
        <f aca="false">TEXT(B36,"mmm yyyy")</f>
        <v>Jun 2022</v>
      </c>
    </row>
    <row r="37" customFormat="false" ht="15" hidden="false" customHeight="false" outlineLevel="0" collapsed="false">
      <c r="A37" s="25" t="str">
        <f aca="false">INDEX(Reconciliation!$A$6:$A$10,MATCH(B37,Reconciliation!$B$6:$B$10,1))</f>
        <v>P1</v>
      </c>
      <c r="B37" s="26" t="n">
        <v>44723</v>
      </c>
      <c r="C37" s="25" t="s">
        <v>85</v>
      </c>
      <c r="D37" s="27" t="n">
        <v>13.41</v>
      </c>
      <c r="E37" s="27"/>
      <c r="F37" s="27" t="n">
        <f aca="false">F36-N(D37)+N(E37)</f>
        <v>2655.41</v>
      </c>
      <c r="G37" s="25" t="str">
        <f aca="false">IFERROR(LOOKUP(2^15,SEARCH('Category Rules'!$A$5:$A$23,C37),'Category Rules'!$B$5:$B$23),"Uncategorised")</f>
        <v>Parking</v>
      </c>
      <c r="H37" s="25" t="str">
        <f aca="false">TEXT(B37,"mmm yyyy")</f>
        <v>Jun 2022</v>
      </c>
    </row>
    <row r="38" customFormat="false" ht="15" hidden="false" customHeight="false" outlineLevel="0" collapsed="false">
      <c r="A38" s="25" t="str">
        <f aca="false">INDEX(Reconciliation!$A$6:$A$10,MATCH(B38,Reconciliation!$B$6:$B$10,1))</f>
        <v>P1</v>
      </c>
      <c r="B38" s="26" t="n">
        <v>44724</v>
      </c>
      <c r="C38" s="25" t="s">
        <v>62</v>
      </c>
      <c r="D38" s="27"/>
      <c r="E38" s="27" t="n">
        <v>336.46</v>
      </c>
      <c r="F38" s="27" t="n">
        <f aca="false">F37-N(D38)+N(E38)</f>
        <v>2991.87</v>
      </c>
      <c r="G38" s="25" t="str">
        <f aca="false">IFERROR(LOOKUP(2^15,SEARCH('Category Rules'!$A$5:$A$23,C38),'Category Rules'!$B$5:$B$23),"Uncategorised")</f>
        <v>Income: client receipts</v>
      </c>
      <c r="H38" s="25" t="str">
        <f aca="false">TEXT(B38,"mmm yyyy")</f>
        <v>Jun 2022</v>
      </c>
    </row>
    <row r="39" customFormat="false" ht="15" hidden="false" customHeight="false" outlineLevel="0" collapsed="false">
      <c r="A39" s="25" t="str">
        <f aca="false">INDEX(Reconciliation!$A$6:$A$10,MATCH(B39,Reconciliation!$B$6:$B$10,1))</f>
        <v>P1</v>
      </c>
      <c r="B39" s="26" t="n">
        <v>44725</v>
      </c>
      <c r="C39" s="25" t="s">
        <v>86</v>
      </c>
      <c r="D39" s="27" t="n">
        <v>44.36</v>
      </c>
      <c r="E39" s="27"/>
      <c r="F39" s="27" t="n">
        <f aca="false">F38-N(D39)+N(E39)</f>
        <v>2947.51</v>
      </c>
      <c r="G39" s="25" t="str">
        <f aca="false">IFERROR(LOOKUP(2^15,SEARCH('Category Rules'!$A$5:$A$23,C39),'Category Rules'!$B$5:$B$23),"Uncategorised")</f>
        <v>Fuel and vehicle</v>
      </c>
      <c r="H39" s="25" t="str">
        <f aca="false">TEXT(B39,"mmm yyyy")</f>
        <v>Jun 2022</v>
      </c>
    </row>
    <row r="40" customFormat="false" ht="15" hidden="false" customHeight="false" outlineLevel="0" collapsed="false">
      <c r="A40" s="25" t="str">
        <f aca="false">INDEX(Reconciliation!$A$6:$A$10,MATCH(B40,Reconciliation!$B$6:$B$10,1))</f>
        <v>P1</v>
      </c>
      <c r="B40" s="26" t="n">
        <v>44725</v>
      </c>
      <c r="C40" s="25" t="s">
        <v>67</v>
      </c>
      <c r="D40" s="27"/>
      <c r="E40" s="27" t="n">
        <v>1000</v>
      </c>
      <c r="F40" s="27" t="n">
        <f aca="false">F39-N(D40)+N(E40)</f>
        <v>3947.51</v>
      </c>
      <c r="G40" s="25" t="str">
        <f aca="false">IFERROR(LOOKUP(2^15,SEARCH('Category Rules'!$A$5:$A$23,C40),'Category Rules'!$B$5:$B$23),"Uncategorised")</f>
        <v>Income: transfers in</v>
      </c>
      <c r="H40" s="25" t="str">
        <f aca="false">TEXT(B40,"mmm yyyy")</f>
        <v>Jun 2022</v>
      </c>
    </row>
    <row r="41" customFormat="false" ht="15" hidden="false" customHeight="false" outlineLevel="0" collapsed="false">
      <c r="A41" s="25" t="str">
        <f aca="false">INDEX(Reconciliation!$A$6:$A$10,MATCH(B41,Reconciliation!$B$6:$B$10,1))</f>
        <v>P1</v>
      </c>
      <c r="B41" s="26" t="n">
        <v>44726</v>
      </c>
      <c r="C41" s="25" t="s">
        <v>87</v>
      </c>
      <c r="D41" s="27" t="n">
        <v>83.68</v>
      </c>
      <c r="E41" s="27"/>
      <c r="F41" s="27" t="n">
        <f aca="false">F40-N(D41)+N(E41)</f>
        <v>3863.83</v>
      </c>
      <c r="G41" s="25" t="str">
        <f aca="false">IFERROR(LOOKUP(2^15,SEARCH('Category Rules'!$A$5:$A$23,C41),'Category Rules'!$B$5:$B$23),"Uncategorised")</f>
        <v>Fuel and vehicle</v>
      </c>
      <c r="H41" s="25" t="str">
        <f aca="false">TEXT(B41,"mmm yyyy")</f>
        <v>Jun 2022</v>
      </c>
    </row>
    <row r="42" customFormat="false" ht="15" hidden="false" customHeight="false" outlineLevel="0" collapsed="false">
      <c r="A42" s="25" t="str">
        <f aca="false">INDEX(Reconciliation!$A$6:$A$10,MATCH(B42,Reconciliation!$B$6:$B$10,1))</f>
        <v>P1</v>
      </c>
      <c r="B42" s="26" t="n">
        <v>44727</v>
      </c>
      <c r="C42" s="25" t="s">
        <v>88</v>
      </c>
      <c r="D42" s="27" t="n">
        <v>35.07</v>
      </c>
      <c r="E42" s="27"/>
      <c r="F42" s="27" t="n">
        <f aca="false">F41-N(D42)+N(E42)</f>
        <v>3828.76</v>
      </c>
      <c r="G42" s="25" t="str">
        <f aca="false">IFERROR(LOOKUP(2^15,SEARCH('Category Rules'!$A$5:$A$23,C42),'Category Rules'!$B$5:$B$23),"Uncategorised")</f>
        <v>Stock and supplies</v>
      </c>
      <c r="H42" s="25" t="str">
        <f aca="false">TEXT(B42,"mmm yyyy")</f>
        <v>Jun 2022</v>
      </c>
    </row>
    <row r="43" customFormat="false" ht="15" hidden="false" customHeight="false" outlineLevel="0" collapsed="false">
      <c r="A43" s="25" t="str">
        <f aca="false">INDEX(Reconciliation!$A$6:$A$10,MATCH(B43,Reconciliation!$B$6:$B$10,1))</f>
        <v>P1</v>
      </c>
      <c r="B43" s="26" t="n">
        <v>44727</v>
      </c>
      <c r="C43" s="25" t="s">
        <v>89</v>
      </c>
      <c r="D43" s="27" t="n">
        <v>190.94</v>
      </c>
      <c r="E43" s="27"/>
      <c r="F43" s="27" t="n">
        <f aca="false">F42-N(D43)+N(E43)</f>
        <v>3637.82</v>
      </c>
      <c r="G43" s="25" t="str">
        <f aca="false">IFERROR(LOOKUP(2^15,SEARCH('Category Rules'!$A$5:$A$23,C43),'Category Rules'!$B$5:$B$23),"Uncategorised")</f>
        <v>Stock and supplies</v>
      </c>
      <c r="H43" s="25" t="str">
        <f aca="false">TEXT(B43,"mmm yyyy")</f>
        <v>Jun 2022</v>
      </c>
    </row>
    <row r="44" customFormat="false" ht="15" hidden="false" customHeight="false" outlineLevel="0" collapsed="false">
      <c r="A44" s="25" t="str">
        <f aca="false">INDEX(Reconciliation!$A$6:$A$10,MATCH(B44,Reconciliation!$B$6:$B$10,1))</f>
        <v>P1</v>
      </c>
      <c r="B44" s="26" t="n">
        <v>44728</v>
      </c>
      <c r="C44" s="25" t="s">
        <v>90</v>
      </c>
      <c r="D44" s="27" t="n">
        <v>73.07</v>
      </c>
      <c r="E44" s="27"/>
      <c r="F44" s="27" t="n">
        <f aca="false">F43-N(D44)+N(E44)</f>
        <v>3564.75</v>
      </c>
      <c r="G44" s="25" t="str">
        <f aca="false">IFERROR(LOOKUP(2^15,SEARCH('Category Rules'!$A$5:$A$23,C44),'Category Rules'!$B$5:$B$23),"Uncategorised")</f>
        <v>Fuel and vehicle</v>
      </c>
      <c r="H44" s="25" t="str">
        <f aca="false">TEXT(B44,"mmm yyyy")</f>
        <v>Jun 2022</v>
      </c>
    </row>
    <row r="45" customFormat="false" ht="15" hidden="false" customHeight="false" outlineLevel="0" collapsed="false">
      <c r="A45" s="25" t="str">
        <f aca="false">INDEX(Reconciliation!$A$6:$A$10,MATCH(B45,Reconciliation!$B$6:$B$10,1))</f>
        <v>P1</v>
      </c>
      <c r="B45" s="26" t="n">
        <v>44728</v>
      </c>
      <c r="C45" s="25" t="s">
        <v>91</v>
      </c>
      <c r="D45" s="27" t="n">
        <v>46.51</v>
      </c>
      <c r="E45" s="27"/>
      <c r="F45" s="27" t="n">
        <f aca="false">F44-N(D45)+N(E45)</f>
        <v>3518.24</v>
      </c>
      <c r="G45" s="25" t="str">
        <f aca="false">IFERROR(LOOKUP(2^15,SEARCH('Category Rules'!$A$5:$A$23,C45),'Category Rules'!$B$5:$B$23),"Uncategorised")</f>
        <v>Fuel and vehicle</v>
      </c>
      <c r="H45" s="25" t="str">
        <f aca="false">TEXT(B45,"mmm yyyy")</f>
        <v>Jun 2022</v>
      </c>
    </row>
    <row r="46" customFormat="false" ht="15" hidden="false" customHeight="false" outlineLevel="0" collapsed="false">
      <c r="A46" s="25" t="str">
        <f aca="false">INDEX(Reconciliation!$A$6:$A$10,MATCH(B46,Reconciliation!$B$6:$B$10,1))</f>
        <v>P1</v>
      </c>
      <c r="B46" s="26" t="n">
        <v>44732</v>
      </c>
      <c r="C46" s="25" t="s">
        <v>92</v>
      </c>
      <c r="D46" s="27" t="n">
        <v>207.84</v>
      </c>
      <c r="E46" s="27"/>
      <c r="F46" s="27" t="n">
        <f aca="false">F45-N(D46)+N(E46)</f>
        <v>3310.4</v>
      </c>
      <c r="G46" s="25" t="str">
        <f aca="false">IFERROR(LOOKUP(2^15,SEARCH('Category Rules'!$A$5:$A$23,C46),'Category Rules'!$B$5:$B$23),"Uncategorised")</f>
        <v>Stock and supplies</v>
      </c>
      <c r="H46" s="25" t="str">
        <f aca="false">TEXT(B46,"mmm yyyy")</f>
        <v>Jun 2022</v>
      </c>
    </row>
    <row r="47" customFormat="false" ht="15" hidden="false" customHeight="false" outlineLevel="0" collapsed="false">
      <c r="A47" s="25" t="str">
        <f aca="false">INDEX(Reconciliation!$A$6:$A$10,MATCH(B47,Reconciliation!$B$6:$B$10,1))</f>
        <v>P1</v>
      </c>
      <c r="B47" s="26" t="n">
        <v>44733</v>
      </c>
      <c r="C47" s="25" t="s">
        <v>93</v>
      </c>
      <c r="D47" s="27" t="n">
        <v>32.29</v>
      </c>
      <c r="E47" s="27"/>
      <c r="F47" s="27" t="n">
        <f aca="false">F46-N(D47)+N(E47)</f>
        <v>3278.11</v>
      </c>
      <c r="G47" s="25" t="str">
        <f aca="false">IFERROR(LOOKUP(2^15,SEARCH('Category Rules'!$A$5:$A$23,C47),'Category Rules'!$B$5:$B$23),"Uncategorised")</f>
        <v>Cash withdrawals</v>
      </c>
      <c r="H47" s="25" t="str">
        <f aca="false">TEXT(B47,"mmm yyyy")</f>
        <v>Jun 2022</v>
      </c>
    </row>
    <row r="48" customFormat="false" ht="15" hidden="false" customHeight="false" outlineLevel="0" collapsed="false">
      <c r="A48" s="25" t="str">
        <f aca="false">INDEX(Reconciliation!$A$6:$A$10,MATCH(B48,Reconciliation!$B$6:$B$10,1))</f>
        <v>P1</v>
      </c>
      <c r="B48" s="26" t="n">
        <v>44733</v>
      </c>
      <c r="C48" s="25" t="s">
        <v>94</v>
      </c>
      <c r="D48" s="27" t="n">
        <v>30.58</v>
      </c>
      <c r="E48" s="27"/>
      <c r="F48" s="27" t="n">
        <f aca="false">F47-N(D48)+N(E48)</f>
        <v>3247.53</v>
      </c>
      <c r="G48" s="25" t="str">
        <f aca="false">IFERROR(LOOKUP(2^15,SEARCH('Category Rules'!$A$5:$A$23,C48),'Category Rules'!$B$5:$B$23),"Uncategorised")</f>
        <v>Office and equipment</v>
      </c>
      <c r="H48" s="25" t="str">
        <f aca="false">TEXT(B48,"mmm yyyy")</f>
        <v>Jun 2022</v>
      </c>
    </row>
    <row r="49" customFormat="false" ht="15" hidden="false" customHeight="false" outlineLevel="0" collapsed="false">
      <c r="A49" s="25" t="str">
        <f aca="false">INDEX(Reconciliation!$A$6:$A$10,MATCH(B49,Reconciliation!$B$6:$B$10,1))</f>
        <v>P1</v>
      </c>
      <c r="B49" s="26" t="n">
        <v>44734</v>
      </c>
      <c r="C49" s="25" t="s">
        <v>64</v>
      </c>
      <c r="D49" s="27" t="n">
        <v>250</v>
      </c>
      <c r="E49" s="27"/>
      <c r="F49" s="27" t="n">
        <f aca="false">F48-N(D49)+N(E49)</f>
        <v>2997.53</v>
      </c>
      <c r="G49" s="25" t="str">
        <f aca="false">IFERROR(LOOKUP(2^15,SEARCH('Category Rules'!$A$5:$A$23,C49),'Category Rules'!$B$5:$B$23),"Uncategorised")</f>
        <v>Transfers out</v>
      </c>
      <c r="H49" s="25" t="str">
        <f aca="false">TEXT(B49,"mmm yyyy")</f>
        <v>Jun 2022</v>
      </c>
    </row>
    <row r="50" customFormat="false" ht="15" hidden="false" customHeight="false" outlineLevel="0" collapsed="false">
      <c r="A50" s="25" t="str">
        <f aca="false">INDEX(Reconciliation!$A$6:$A$10,MATCH(B50,Reconciliation!$B$6:$B$10,1))</f>
        <v>P2</v>
      </c>
      <c r="B50" s="26" t="n">
        <v>44735</v>
      </c>
      <c r="C50" s="25" t="s">
        <v>95</v>
      </c>
      <c r="D50" s="27" t="n">
        <v>86.47</v>
      </c>
      <c r="E50" s="27"/>
      <c r="F50" s="27" t="n">
        <f aca="false">F49-N(D50)+N(E50)</f>
        <v>2911.06</v>
      </c>
      <c r="G50" s="25" t="str">
        <f aca="false">IFERROR(LOOKUP(2^15,SEARCH('Category Rules'!$A$5:$A$23,C50),'Category Rules'!$B$5:$B$23),"Uncategorised")</f>
        <v>Fuel and vehicle</v>
      </c>
      <c r="H50" s="25" t="str">
        <f aca="false">TEXT(B50,"mmm yyyy")</f>
        <v>Jun 2022</v>
      </c>
    </row>
    <row r="51" customFormat="false" ht="15" hidden="false" customHeight="false" outlineLevel="0" collapsed="false">
      <c r="A51" s="25" t="str">
        <f aca="false">INDEX(Reconciliation!$A$6:$A$10,MATCH(B51,Reconciliation!$B$6:$B$10,1))</f>
        <v>P2</v>
      </c>
      <c r="B51" s="26" t="n">
        <v>44736</v>
      </c>
      <c r="C51" s="25" t="s">
        <v>67</v>
      </c>
      <c r="D51" s="27"/>
      <c r="E51" s="27" t="n">
        <v>500</v>
      </c>
      <c r="F51" s="27" t="n">
        <f aca="false">F50-N(D51)+N(E51)</f>
        <v>3411.06</v>
      </c>
      <c r="G51" s="25" t="str">
        <f aca="false">IFERROR(LOOKUP(2^15,SEARCH('Category Rules'!$A$5:$A$23,C51),'Category Rules'!$B$5:$B$23),"Uncategorised")</f>
        <v>Income: transfers in</v>
      </c>
      <c r="H51" s="25" t="str">
        <f aca="false">TEXT(B51,"mmm yyyy")</f>
        <v>Jun 2022</v>
      </c>
    </row>
    <row r="52" customFormat="false" ht="15" hidden="false" customHeight="false" outlineLevel="0" collapsed="false">
      <c r="A52" s="25" t="str">
        <f aca="false">INDEX(Reconciliation!$A$6:$A$10,MATCH(B52,Reconciliation!$B$6:$B$10,1))</f>
        <v>P2</v>
      </c>
      <c r="B52" s="26" t="n">
        <v>44737</v>
      </c>
      <c r="C52" s="25" t="s">
        <v>64</v>
      </c>
      <c r="D52" s="27" t="n">
        <v>250</v>
      </c>
      <c r="E52" s="27"/>
      <c r="F52" s="27" t="n">
        <f aca="false">F51-N(D52)+N(E52)</f>
        <v>3161.06</v>
      </c>
      <c r="G52" s="25" t="str">
        <f aca="false">IFERROR(LOOKUP(2^15,SEARCH('Category Rules'!$A$5:$A$23,C52),'Category Rules'!$B$5:$B$23),"Uncategorised")</f>
        <v>Transfers out</v>
      </c>
      <c r="H52" s="25" t="str">
        <f aca="false">TEXT(B52,"mmm yyyy")</f>
        <v>Jun 2022</v>
      </c>
    </row>
    <row r="53" customFormat="false" ht="15" hidden="false" customHeight="false" outlineLevel="0" collapsed="false">
      <c r="A53" s="25" t="str">
        <f aca="false">INDEX(Reconciliation!$A$6:$A$10,MATCH(B53,Reconciliation!$B$6:$B$10,1))</f>
        <v>P2</v>
      </c>
      <c r="B53" s="26" t="n">
        <v>44737</v>
      </c>
      <c r="C53" s="25" t="s">
        <v>96</v>
      </c>
      <c r="D53" s="27" t="n">
        <v>94.23</v>
      </c>
      <c r="E53" s="27"/>
      <c r="F53" s="27" t="n">
        <f aca="false">F52-N(D53)+N(E53)</f>
        <v>3066.83</v>
      </c>
      <c r="G53" s="25" t="str">
        <f aca="false">IFERROR(LOOKUP(2^15,SEARCH('Category Rules'!$A$5:$A$23,C53),'Category Rules'!$B$5:$B$23),"Uncategorised")</f>
        <v>Stock and supplies</v>
      </c>
      <c r="H53" s="25" t="str">
        <f aca="false">TEXT(B53,"mmm yyyy")</f>
        <v>Jun 2022</v>
      </c>
    </row>
    <row r="54" customFormat="false" ht="15" hidden="false" customHeight="false" outlineLevel="0" collapsed="false">
      <c r="A54" s="25" t="str">
        <f aca="false">INDEX(Reconciliation!$A$6:$A$10,MATCH(B54,Reconciliation!$B$6:$B$10,1))</f>
        <v>P2</v>
      </c>
      <c r="B54" s="26" t="n">
        <v>44737</v>
      </c>
      <c r="C54" s="25" t="s">
        <v>64</v>
      </c>
      <c r="D54" s="27" t="n">
        <v>50</v>
      </c>
      <c r="E54" s="27"/>
      <c r="F54" s="27" t="n">
        <f aca="false">F53-N(D54)+N(E54)</f>
        <v>3016.83</v>
      </c>
      <c r="G54" s="25" t="str">
        <f aca="false">IFERROR(LOOKUP(2^15,SEARCH('Category Rules'!$A$5:$A$23,C54),'Category Rules'!$B$5:$B$23),"Uncategorised")</f>
        <v>Transfers out</v>
      </c>
      <c r="H54" s="25" t="str">
        <f aca="false">TEXT(B54,"mmm yyyy")</f>
        <v>Jun 2022</v>
      </c>
    </row>
    <row r="55" customFormat="false" ht="15" hidden="false" customHeight="false" outlineLevel="0" collapsed="false">
      <c r="A55" s="25" t="str">
        <f aca="false">INDEX(Reconciliation!$A$6:$A$10,MATCH(B55,Reconciliation!$B$6:$B$10,1))</f>
        <v>P2</v>
      </c>
      <c r="B55" s="26" t="n">
        <v>44740</v>
      </c>
      <c r="C55" s="25" t="s">
        <v>97</v>
      </c>
      <c r="D55" s="27" t="n">
        <v>14.5</v>
      </c>
      <c r="E55" s="27"/>
      <c r="F55" s="27" t="n">
        <f aca="false">F54-N(D55)+N(E55)</f>
        <v>3002.33</v>
      </c>
      <c r="G55" s="25" t="str">
        <f aca="false">IFERROR(LOOKUP(2^15,SEARCH('Category Rules'!$A$5:$A$23,C55),'Category Rules'!$B$5:$B$23),"Uncategorised")</f>
        <v>Donations</v>
      </c>
      <c r="H55" s="25" t="str">
        <f aca="false">TEXT(B55,"mmm yyyy")</f>
        <v>Jun 2022</v>
      </c>
    </row>
    <row r="56" customFormat="false" ht="15" hidden="false" customHeight="false" outlineLevel="0" collapsed="false">
      <c r="A56" s="25" t="str">
        <f aca="false">INDEX(Reconciliation!$A$6:$A$10,MATCH(B56,Reconciliation!$B$6:$B$10,1))</f>
        <v>P2</v>
      </c>
      <c r="B56" s="26" t="n">
        <v>44741</v>
      </c>
      <c r="C56" s="25" t="s">
        <v>62</v>
      </c>
      <c r="D56" s="27"/>
      <c r="E56" s="27" t="n">
        <v>49.24</v>
      </c>
      <c r="F56" s="27" t="n">
        <f aca="false">F55-N(D56)+N(E56)</f>
        <v>3051.57</v>
      </c>
      <c r="G56" s="25" t="str">
        <f aca="false">IFERROR(LOOKUP(2^15,SEARCH('Category Rules'!$A$5:$A$23,C56),'Category Rules'!$B$5:$B$23),"Uncategorised")</f>
        <v>Income: client receipts</v>
      </c>
      <c r="H56" s="25" t="str">
        <f aca="false">TEXT(B56,"mmm yyyy")</f>
        <v>Jun 2022</v>
      </c>
    </row>
    <row r="57" customFormat="false" ht="15" hidden="false" customHeight="false" outlineLevel="0" collapsed="false">
      <c r="A57" s="25" t="str">
        <f aca="false">INDEX(Reconciliation!$A$6:$A$10,MATCH(B57,Reconciliation!$B$6:$B$10,1))</f>
        <v>P2</v>
      </c>
      <c r="B57" s="26" t="n">
        <v>44742</v>
      </c>
      <c r="C57" s="25" t="s">
        <v>62</v>
      </c>
      <c r="D57" s="27"/>
      <c r="E57" s="27" t="n">
        <v>34.32</v>
      </c>
      <c r="F57" s="27" t="n">
        <f aca="false">F56-N(D57)+N(E57)</f>
        <v>3085.89</v>
      </c>
      <c r="G57" s="25" t="str">
        <f aca="false">IFERROR(LOOKUP(2^15,SEARCH('Category Rules'!$A$5:$A$23,C57),'Category Rules'!$B$5:$B$23),"Uncategorised")</f>
        <v>Income: client receipts</v>
      </c>
      <c r="H57" s="25" t="str">
        <f aca="false">TEXT(B57,"mmm yyyy")</f>
        <v>Jun 2022</v>
      </c>
    </row>
    <row r="58" customFormat="false" ht="15" hidden="false" customHeight="false" outlineLevel="0" collapsed="false">
      <c r="A58" s="25" t="str">
        <f aca="false">INDEX(Reconciliation!$A$6:$A$10,MATCH(B58,Reconciliation!$B$6:$B$10,1))</f>
        <v>P2</v>
      </c>
      <c r="B58" s="26" t="n">
        <v>44742</v>
      </c>
      <c r="C58" s="25" t="s">
        <v>98</v>
      </c>
      <c r="D58" s="27" t="n">
        <v>84.74</v>
      </c>
      <c r="E58" s="27"/>
      <c r="F58" s="27" t="n">
        <f aca="false">F57-N(D58)+N(E58)</f>
        <v>3001.15</v>
      </c>
      <c r="G58" s="25" t="str">
        <f aca="false">IFERROR(LOOKUP(2^15,SEARCH('Category Rules'!$A$5:$A$23,C58),'Category Rules'!$B$5:$B$23),"Uncategorised")</f>
        <v>Fuel and vehicle</v>
      </c>
      <c r="H58" s="25" t="str">
        <f aca="false">TEXT(B58,"mmm yyyy")</f>
        <v>Jun 2022</v>
      </c>
    </row>
    <row r="59" customFormat="false" ht="15" hidden="false" customHeight="false" outlineLevel="0" collapsed="false">
      <c r="A59" s="25" t="str">
        <f aca="false">INDEX(Reconciliation!$A$6:$A$10,MATCH(B59,Reconciliation!$B$6:$B$10,1))</f>
        <v>P2</v>
      </c>
      <c r="B59" s="26" t="n">
        <v>44743</v>
      </c>
      <c r="C59" s="25" t="s">
        <v>99</v>
      </c>
      <c r="D59" s="27" t="n">
        <v>17.45</v>
      </c>
      <c r="E59" s="27"/>
      <c r="F59" s="27" t="n">
        <f aca="false">F58-N(D59)+N(E59)</f>
        <v>2983.7</v>
      </c>
      <c r="G59" s="25" t="str">
        <f aca="false">IFERROR(LOOKUP(2^15,SEARCH('Category Rules'!$A$5:$A$23,C59),'Category Rules'!$B$5:$B$23),"Uncategorised")</f>
        <v>Health and welfare</v>
      </c>
      <c r="H59" s="25" t="str">
        <f aca="false">TEXT(B59,"mmm yyyy")</f>
        <v>Jul 2022</v>
      </c>
    </row>
    <row r="60" customFormat="false" ht="15" hidden="false" customHeight="false" outlineLevel="0" collapsed="false">
      <c r="A60" s="25" t="str">
        <f aca="false">INDEX(Reconciliation!$A$6:$A$10,MATCH(B60,Reconciliation!$B$6:$B$10,1))</f>
        <v>P2</v>
      </c>
      <c r="B60" s="26" t="n">
        <v>44744</v>
      </c>
      <c r="C60" s="25" t="s">
        <v>71</v>
      </c>
      <c r="D60" s="27" t="n">
        <v>8.2</v>
      </c>
      <c r="E60" s="27"/>
      <c r="F60" s="27" t="n">
        <f aca="false">F59-N(D60)+N(E60)</f>
        <v>2975.5</v>
      </c>
      <c r="G60" s="25" t="str">
        <f aca="false">IFERROR(LOOKUP(2^15,SEARCH('Category Rules'!$A$5:$A$23,C60),'Category Rules'!$B$5:$B$23),"Uncategorised")</f>
        <v>Subscriptions and utilities</v>
      </c>
      <c r="H60" s="25" t="str">
        <f aca="false">TEXT(B60,"mmm yyyy")</f>
        <v>Jul 2022</v>
      </c>
    </row>
    <row r="61" customFormat="false" ht="15" hidden="false" customHeight="false" outlineLevel="0" collapsed="false">
      <c r="A61" s="25" t="str">
        <f aca="false">INDEX(Reconciliation!$A$6:$A$10,MATCH(B61,Reconciliation!$B$6:$B$10,1))</f>
        <v>P2</v>
      </c>
      <c r="B61" s="26" t="n">
        <v>44744</v>
      </c>
      <c r="C61" s="25" t="s">
        <v>62</v>
      </c>
      <c r="D61" s="27"/>
      <c r="E61" s="27" t="n">
        <v>287.68</v>
      </c>
      <c r="F61" s="27" t="n">
        <f aca="false">F60-N(D61)+N(E61)</f>
        <v>3263.18</v>
      </c>
      <c r="G61" s="25" t="str">
        <f aca="false">IFERROR(LOOKUP(2^15,SEARCH('Category Rules'!$A$5:$A$23,C61),'Category Rules'!$B$5:$B$23),"Uncategorised")</f>
        <v>Income: client receipts</v>
      </c>
      <c r="H61" s="25" t="str">
        <f aca="false">TEXT(B61,"mmm yyyy")</f>
        <v>Jul 2022</v>
      </c>
    </row>
    <row r="62" customFormat="false" ht="15" hidden="false" customHeight="false" outlineLevel="0" collapsed="false">
      <c r="A62" s="25" t="str">
        <f aca="false">INDEX(Reconciliation!$A$6:$A$10,MATCH(B62,Reconciliation!$B$6:$B$10,1))</f>
        <v>P2</v>
      </c>
      <c r="B62" s="26" t="n">
        <v>44744</v>
      </c>
      <c r="C62" s="25" t="s">
        <v>100</v>
      </c>
      <c r="D62" s="27" t="n">
        <v>102.37</v>
      </c>
      <c r="E62" s="27"/>
      <c r="F62" s="27" t="n">
        <f aca="false">F61-N(D62)+N(E62)</f>
        <v>3160.81</v>
      </c>
      <c r="G62" s="25" t="str">
        <f aca="false">IFERROR(LOOKUP(2^15,SEARCH('Category Rules'!$A$5:$A$23,C62),'Category Rules'!$B$5:$B$23),"Uncategorised")</f>
        <v>Cash withdrawals</v>
      </c>
      <c r="H62" s="25" t="str">
        <f aca="false">TEXT(B62,"mmm yyyy")</f>
        <v>Jul 2022</v>
      </c>
    </row>
    <row r="63" customFormat="false" ht="15" hidden="false" customHeight="false" outlineLevel="0" collapsed="false">
      <c r="A63" s="25" t="str">
        <f aca="false">INDEX(Reconciliation!$A$6:$A$10,MATCH(B63,Reconciliation!$B$6:$B$10,1))</f>
        <v>P2</v>
      </c>
      <c r="B63" s="26" t="n">
        <v>44746</v>
      </c>
      <c r="C63" s="25" t="s">
        <v>67</v>
      </c>
      <c r="D63" s="27"/>
      <c r="E63" s="27" t="n">
        <v>200</v>
      </c>
      <c r="F63" s="27" t="n">
        <f aca="false">F62-N(D63)+N(E63)</f>
        <v>3360.81</v>
      </c>
      <c r="G63" s="25" t="str">
        <f aca="false">IFERROR(LOOKUP(2^15,SEARCH('Category Rules'!$A$5:$A$23,C63),'Category Rules'!$B$5:$B$23),"Uncategorised")</f>
        <v>Income: transfers in</v>
      </c>
      <c r="H63" s="25" t="str">
        <f aca="false">TEXT(B63,"mmm yyyy")</f>
        <v>Jul 2022</v>
      </c>
    </row>
    <row r="64" customFormat="false" ht="15" hidden="false" customHeight="false" outlineLevel="0" collapsed="false">
      <c r="A64" s="25" t="str">
        <f aca="false">INDEX(Reconciliation!$A$6:$A$10,MATCH(B64,Reconciliation!$B$6:$B$10,1))</f>
        <v>P2</v>
      </c>
      <c r="B64" s="26" t="n">
        <v>44746</v>
      </c>
      <c r="C64" s="25" t="s">
        <v>62</v>
      </c>
      <c r="D64" s="27"/>
      <c r="E64" s="27" t="n">
        <v>195.49</v>
      </c>
      <c r="F64" s="27" t="n">
        <f aca="false">F63-N(D64)+N(E64)</f>
        <v>3556.3</v>
      </c>
      <c r="G64" s="25" t="str">
        <f aca="false">IFERROR(LOOKUP(2^15,SEARCH('Category Rules'!$A$5:$A$23,C64),'Category Rules'!$B$5:$B$23),"Uncategorised")</f>
        <v>Income: client receipts</v>
      </c>
      <c r="H64" s="25" t="str">
        <f aca="false">TEXT(B64,"mmm yyyy")</f>
        <v>Jul 2022</v>
      </c>
    </row>
    <row r="65" customFormat="false" ht="15" hidden="false" customHeight="false" outlineLevel="0" collapsed="false">
      <c r="A65" s="25" t="str">
        <f aca="false">INDEX(Reconciliation!$A$6:$A$10,MATCH(B65,Reconciliation!$B$6:$B$10,1))</f>
        <v>P2</v>
      </c>
      <c r="B65" s="26" t="n">
        <v>44746</v>
      </c>
      <c r="C65" s="25" t="s">
        <v>101</v>
      </c>
      <c r="D65" s="27" t="n">
        <v>6.51</v>
      </c>
      <c r="E65" s="27"/>
      <c r="F65" s="27" t="n">
        <f aca="false">F64-N(D65)+N(E65)</f>
        <v>3549.79</v>
      </c>
      <c r="G65" s="25" t="str">
        <f aca="false">IFERROR(LOOKUP(2^15,SEARCH('Category Rules'!$A$5:$A$23,C65),'Category Rules'!$B$5:$B$23),"Uncategorised")</f>
        <v>Meals and subsistence</v>
      </c>
      <c r="H65" s="25" t="str">
        <f aca="false">TEXT(B65,"mmm yyyy")</f>
        <v>Jul 2022</v>
      </c>
    </row>
    <row r="66" customFormat="false" ht="15" hidden="false" customHeight="false" outlineLevel="0" collapsed="false">
      <c r="A66" s="25" t="str">
        <f aca="false">INDEX(Reconciliation!$A$6:$A$10,MATCH(B66,Reconciliation!$B$6:$B$10,1))</f>
        <v>P2</v>
      </c>
      <c r="B66" s="26" t="n">
        <v>44747</v>
      </c>
      <c r="C66" s="25" t="s">
        <v>64</v>
      </c>
      <c r="D66" s="27" t="n">
        <v>1000</v>
      </c>
      <c r="E66" s="27"/>
      <c r="F66" s="27" t="n">
        <f aca="false">F65-N(D66)+N(E66)</f>
        <v>2549.79</v>
      </c>
      <c r="G66" s="25" t="str">
        <f aca="false">IFERROR(LOOKUP(2^15,SEARCH('Category Rules'!$A$5:$A$23,C66),'Category Rules'!$B$5:$B$23),"Uncategorised")</f>
        <v>Transfers out</v>
      </c>
      <c r="H66" s="25" t="str">
        <f aca="false">TEXT(B66,"mmm yyyy")</f>
        <v>Jul 2022</v>
      </c>
    </row>
    <row r="67" customFormat="false" ht="15" hidden="false" customHeight="false" outlineLevel="0" collapsed="false">
      <c r="A67" s="25" t="str">
        <f aca="false">INDEX(Reconciliation!$A$6:$A$10,MATCH(B67,Reconciliation!$B$6:$B$10,1))</f>
        <v>P2</v>
      </c>
      <c r="B67" s="26" t="n">
        <v>44748</v>
      </c>
      <c r="C67" s="25" t="s">
        <v>102</v>
      </c>
      <c r="D67" s="27" t="n">
        <v>40.47</v>
      </c>
      <c r="E67" s="27"/>
      <c r="F67" s="27" t="n">
        <f aca="false">F66-N(D67)+N(E67)</f>
        <v>2509.32</v>
      </c>
      <c r="G67" s="25" t="str">
        <f aca="false">IFERROR(LOOKUP(2^15,SEARCH('Category Rules'!$A$5:$A$23,C67),'Category Rules'!$B$5:$B$23),"Uncategorised")</f>
        <v>Fuel and vehicle</v>
      </c>
      <c r="H67" s="25" t="str">
        <f aca="false">TEXT(B67,"mmm yyyy")</f>
        <v>Jul 2022</v>
      </c>
    </row>
    <row r="68" customFormat="false" ht="15" hidden="false" customHeight="false" outlineLevel="0" collapsed="false">
      <c r="A68" s="25" t="str">
        <f aca="false">INDEX(Reconciliation!$A$6:$A$10,MATCH(B68,Reconciliation!$B$6:$B$10,1))</f>
        <v>P2</v>
      </c>
      <c r="B68" s="26" t="n">
        <v>44749</v>
      </c>
      <c r="C68" s="25" t="s">
        <v>103</v>
      </c>
      <c r="D68" s="27" t="n">
        <v>23.57</v>
      </c>
      <c r="E68" s="27"/>
      <c r="F68" s="27" t="n">
        <f aca="false">F67-N(D68)+N(E68)</f>
        <v>2485.75</v>
      </c>
      <c r="G68" s="25" t="str">
        <f aca="false">IFERROR(LOOKUP(2^15,SEARCH('Category Rules'!$A$5:$A$23,C68),'Category Rules'!$B$5:$B$23),"Uncategorised")</f>
        <v>Donations</v>
      </c>
      <c r="H68" s="25" t="str">
        <f aca="false">TEXT(B68,"mmm yyyy")</f>
        <v>Jul 2022</v>
      </c>
    </row>
    <row r="69" customFormat="false" ht="15" hidden="false" customHeight="false" outlineLevel="0" collapsed="false">
      <c r="A69" s="25" t="str">
        <f aca="false">INDEX(Reconciliation!$A$6:$A$10,MATCH(B69,Reconciliation!$B$6:$B$10,1))</f>
        <v>P2</v>
      </c>
      <c r="B69" s="26" t="n">
        <v>44750</v>
      </c>
      <c r="C69" s="25" t="s">
        <v>80</v>
      </c>
      <c r="D69" s="27" t="n">
        <v>8.5</v>
      </c>
      <c r="E69" s="27"/>
      <c r="F69" s="27" t="n">
        <f aca="false">F68-N(D69)+N(E69)</f>
        <v>2477.25</v>
      </c>
      <c r="G69" s="25" t="str">
        <f aca="false">IFERROR(LOOKUP(2^15,SEARCH('Category Rules'!$A$5:$A$23,C69),'Category Rules'!$B$5:$B$23),"Uncategorised")</f>
        <v>Bank charges</v>
      </c>
      <c r="H69" s="25" t="str">
        <f aca="false">TEXT(B69,"mmm yyyy")</f>
        <v>Jul 2022</v>
      </c>
    </row>
    <row r="70" customFormat="false" ht="15" hidden="false" customHeight="false" outlineLevel="0" collapsed="false">
      <c r="A70" s="25" t="str">
        <f aca="false">INDEX(Reconciliation!$A$6:$A$10,MATCH(B70,Reconciliation!$B$6:$B$10,1))</f>
        <v>P2</v>
      </c>
      <c r="B70" s="26" t="n">
        <v>44752</v>
      </c>
      <c r="C70" s="25" t="s">
        <v>104</v>
      </c>
      <c r="D70" s="27" t="n">
        <v>73.23</v>
      </c>
      <c r="E70" s="27"/>
      <c r="F70" s="27" t="n">
        <f aca="false">F69-N(D70)+N(E70)</f>
        <v>2404.02</v>
      </c>
      <c r="G70" s="25" t="str">
        <f aca="false">IFERROR(LOOKUP(2^15,SEARCH('Category Rules'!$A$5:$A$23,C70),'Category Rules'!$B$5:$B$23),"Uncategorised")</f>
        <v>Fuel and vehicle</v>
      </c>
      <c r="H70" s="25" t="str">
        <f aca="false">TEXT(B70,"mmm yyyy")</f>
        <v>Jul 2022</v>
      </c>
    </row>
    <row r="71" customFormat="false" ht="15" hidden="false" customHeight="false" outlineLevel="0" collapsed="false">
      <c r="A71" s="25" t="str">
        <f aca="false">INDEX(Reconciliation!$A$6:$A$10,MATCH(B71,Reconciliation!$B$6:$B$10,1))</f>
        <v>P2</v>
      </c>
      <c r="B71" s="26" t="n">
        <v>44752</v>
      </c>
      <c r="C71" s="25" t="s">
        <v>105</v>
      </c>
      <c r="D71" s="27" t="n">
        <v>14.63</v>
      </c>
      <c r="E71" s="27"/>
      <c r="F71" s="27" t="n">
        <f aca="false">F70-N(D71)+N(E71)</f>
        <v>2389.39</v>
      </c>
      <c r="G71" s="25" t="str">
        <f aca="false">IFERROR(LOOKUP(2^15,SEARCH('Category Rules'!$A$5:$A$23,C71),'Category Rules'!$B$5:$B$23),"Uncategorised")</f>
        <v>Stock and supplies</v>
      </c>
      <c r="H71" s="25" t="str">
        <f aca="false">TEXT(B71,"mmm yyyy")</f>
        <v>Jul 2022</v>
      </c>
    </row>
    <row r="72" customFormat="false" ht="15" hidden="false" customHeight="false" outlineLevel="0" collapsed="false">
      <c r="A72" s="25" t="str">
        <f aca="false">INDEX(Reconciliation!$A$6:$A$10,MATCH(B72,Reconciliation!$B$6:$B$10,1))</f>
        <v>P2</v>
      </c>
      <c r="B72" s="26" t="n">
        <v>44754</v>
      </c>
      <c r="C72" s="25" t="s">
        <v>67</v>
      </c>
      <c r="D72" s="27"/>
      <c r="E72" s="27" t="n">
        <v>150</v>
      </c>
      <c r="F72" s="27" t="n">
        <f aca="false">F71-N(D72)+N(E72)</f>
        <v>2539.39</v>
      </c>
      <c r="G72" s="25" t="str">
        <f aca="false">IFERROR(LOOKUP(2^15,SEARCH('Category Rules'!$A$5:$A$23,C72),'Category Rules'!$B$5:$B$23),"Uncategorised")</f>
        <v>Income: transfers in</v>
      </c>
      <c r="H72" s="25" t="str">
        <f aca="false">TEXT(B72,"mmm yyyy")</f>
        <v>Jul 2022</v>
      </c>
    </row>
    <row r="73" customFormat="false" ht="15" hidden="false" customHeight="false" outlineLevel="0" collapsed="false">
      <c r="A73" s="25" t="str">
        <f aca="false">INDEX(Reconciliation!$A$6:$A$10,MATCH(B73,Reconciliation!$B$6:$B$10,1))</f>
        <v>P2</v>
      </c>
      <c r="B73" s="26" t="n">
        <v>44755</v>
      </c>
      <c r="C73" s="25" t="s">
        <v>106</v>
      </c>
      <c r="D73" s="27" t="n">
        <v>5.01</v>
      </c>
      <c r="E73" s="27"/>
      <c r="F73" s="27" t="n">
        <f aca="false">F72-N(D73)+N(E73)</f>
        <v>2534.38</v>
      </c>
      <c r="G73" s="25" t="str">
        <f aca="false">IFERROR(LOOKUP(2^15,SEARCH('Category Rules'!$A$5:$A$23,C73),'Category Rules'!$B$5:$B$23),"Uncategorised")</f>
        <v>Meals and subsistence</v>
      </c>
      <c r="H73" s="25" t="str">
        <f aca="false">TEXT(B73,"mmm yyyy")</f>
        <v>Jul 2022</v>
      </c>
    </row>
    <row r="74" customFormat="false" ht="15" hidden="false" customHeight="false" outlineLevel="0" collapsed="false">
      <c r="A74" s="25" t="str">
        <f aca="false">INDEX(Reconciliation!$A$6:$A$10,MATCH(B74,Reconciliation!$B$6:$B$10,1))</f>
        <v>P2</v>
      </c>
      <c r="B74" s="26" t="n">
        <v>44755</v>
      </c>
      <c r="C74" s="25" t="s">
        <v>107</v>
      </c>
      <c r="D74" s="27" t="n">
        <v>13.97</v>
      </c>
      <c r="E74" s="27"/>
      <c r="F74" s="27" t="n">
        <f aca="false">F73-N(D74)+N(E74)</f>
        <v>2520.41</v>
      </c>
      <c r="G74" s="25" t="str">
        <f aca="false">IFERROR(LOOKUP(2^15,SEARCH('Category Rules'!$A$5:$A$23,C74),'Category Rules'!$B$5:$B$23),"Uncategorised")</f>
        <v>Donations</v>
      </c>
      <c r="H74" s="25" t="str">
        <f aca="false">TEXT(B74,"mmm yyyy")</f>
        <v>Jul 2022</v>
      </c>
    </row>
    <row r="75" customFormat="false" ht="15" hidden="false" customHeight="false" outlineLevel="0" collapsed="false">
      <c r="A75" s="25" t="str">
        <f aca="false">INDEX(Reconciliation!$A$6:$A$10,MATCH(B75,Reconciliation!$B$6:$B$10,1))</f>
        <v>P2</v>
      </c>
      <c r="B75" s="26" t="n">
        <v>44756</v>
      </c>
      <c r="C75" s="25" t="s">
        <v>108</v>
      </c>
      <c r="D75" s="27" t="n">
        <v>25</v>
      </c>
      <c r="E75" s="27"/>
      <c r="F75" s="27" t="n">
        <f aca="false">F74-N(D75)+N(E75)</f>
        <v>2495.41</v>
      </c>
      <c r="G75" s="25" t="str">
        <f aca="false">IFERROR(LOOKUP(2^15,SEARCH('Category Rules'!$A$5:$A$23,C75),'Category Rules'!$B$5:$B$23),"Uncategorised")</f>
        <v>Supplier payments</v>
      </c>
      <c r="H75" s="25" t="str">
        <f aca="false">TEXT(B75,"mmm yyyy")</f>
        <v>Jul 2022</v>
      </c>
    </row>
    <row r="76" customFormat="false" ht="15" hidden="false" customHeight="false" outlineLevel="0" collapsed="false">
      <c r="A76" s="25" t="str">
        <f aca="false">INDEX(Reconciliation!$A$6:$A$10,MATCH(B76,Reconciliation!$B$6:$B$10,1))</f>
        <v>P2</v>
      </c>
      <c r="B76" s="26" t="n">
        <v>44756</v>
      </c>
      <c r="C76" s="25" t="s">
        <v>109</v>
      </c>
      <c r="D76" s="27" t="n">
        <v>66.04</v>
      </c>
      <c r="E76" s="27"/>
      <c r="F76" s="27" t="n">
        <f aca="false">F75-N(D76)+N(E76)</f>
        <v>2429.37</v>
      </c>
      <c r="G76" s="25" t="str">
        <f aca="false">IFERROR(LOOKUP(2^15,SEARCH('Category Rules'!$A$5:$A$23,C76),'Category Rules'!$B$5:$B$23),"Uncategorised")</f>
        <v>Office and equipment</v>
      </c>
      <c r="H76" s="25" t="str">
        <f aca="false">TEXT(B76,"mmm yyyy")</f>
        <v>Jul 2022</v>
      </c>
    </row>
    <row r="77" customFormat="false" ht="15" hidden="false" customHeight="false" outlineLevel="0" collapsed="false">
      <c r="A77" s="25" t="str">
        <f aca="false">INDEX(Reconciliation!$A$6:$A$10,MATCH(B77,Reconciliation!$B$6:$B$10,1))</f>
        <v>P2</v>
      </c>
      <c r="B77" s="26" t="n">
        <v>44757</v>
      </c>
      <c r="C77" s="25" t="s">
        <v>110</v>
      </c>
      <c r="D77" s="27" t="n">
        <v>43.85</v>
      </c>
      <c r="E77" s="27"/>
      <c r="F77" s="27" t="n">
        <f aca="false">F76-N(D77)+N(E77)</f>
        <v>2385.52</v>
      </c>
      <c r="G77" s="25" t="str">
        <f aca="false">IFERROR(LOOKUP(2^15,SEARCH('Category Rules'!$A$5:$A$23,C77),'Category Rules'!$B$5:$B$23),"Uncategorised")</f>
        <v>Fuel and vehicle</v>
      </c>
      <c r="H77" s="25" t="str">
        <f aca="false">TEXT(B77,"mmm yyyy")</f>
        <v>Jul 2022</v>
      </c>
    </row>
    <row r="78" customFormat="false" ht="15" hidden="false" customHeight="false" outlineLevel="0" collapsed="false">
      <c r="A78" s="25" t="str">
        <f aca="false">INDEX(Reconciliation!$A$6:$A$10,MATCH(B78,Reconciliation!$B$6:$B$10,1))</f>
        <v>P2</v>
      </c>
      <c r="B78" s="26" t="n">
        <v>44757</v>
      </c>
      <c r="C78" s="25" t="s">
        <v>111</v>
      </c>
      <c r="D78" s="27" t="n">
        <v>30.78</v>
      </c>
      <c r="E78" s="27"/>
      <c r="F78" s="27" t="n">
        <f aca="false">F77-N(D78)+N(E78)</f>
        <v>2354.74</v>
      </c>
      <c r="G78" s="25" t="str">
        <f aca="false">IFERROR(LOOKUP(2^15,SEARCH('Category Rules'!$A$5:$A$23,C78),'Category Rules'!$B$5:$B$23),"Uncategorised")</f>
        <v>Fuel and vehicle</v>
      </c>
      <c r="H78" s="25" t="str">
        <f aca="false">TEXT(B78,"mmm yyyy")</f>
        <v>Jul 2022</v>
      </c>
    </row>
    <row r="79" customFormat="false" ht="15" hidden="false" customHeight="false" outlineLevel="0" collapsed="false">
      <c r="A79" s="25" t="str">
        <f aca="false">INDEX(Reconciliation!$A$6:$A$10,MATCH(B79,Reconciliation!$B$6:$B$10,1))</f>
        <v>P2</v>
      </c>
      <c r="B79" s="26" t="n">
        <v>44757</v>
      </c>
      <c r="C79" s="25" t="s">
        <v>112</v>
      </c>
      <c r="D79" s="27" t="n">
        <v>152.5</v>
      </c>
      <c r="E79" s="27"/>
      <c r="F79" s="27" t="n">
        <f aca="false">F78-N(D79)+N(E79)</f>
        <v>2202.24</v>
      </c>
      <c r="G79" s="25" t="str">
        <f aca="false">IFERROR(LOOKUP(2^15,SEARCH('Category Rules'!$A$5:$A$23,C79),'Category Rules'!$B$5:$B$23),"Uncategorised")</f>
        <v>Stock and supplies</v>
      </c>
      <c r="H79" s="25" t="str">
        <f aca="false">TEXT(B79,"mmm yyyy")</f>
        <v>Jul 2022</v>
      </c>
    </row>
    <row r="80" customFormat="false" ht="15" hidden="false" customHeight="false" outlineLevel="0" collapsed="false">
      <c r="A80" s="25" t="str">
        <f aca="false">INDEX(Reconciliation!$A$6:$A$10,MATCH(B80,Reconciliation!$B$6:$B$10,1))</f>
        <v>P2</v>
      </c>
      <c r="B80" s="26" t="n">
        <v>44757</v>
      </c>
      <c r="C80" s="25" t="s">
        <v>113</v>
      </c>
      <c r="D80" s="27" t="n">
        <v>48.1</v>
      </c>
      <c r="E80" s="27"/>
      <c r="F80" s="27" t="n">
        <f aca="false">F79-N(D80)+N(E80)</f>
        <v>2154.14</v>
      </c>
      <c r="G80" s="25" t="str">
        <f aca="false">IFERROR(LOOKUP(2^15,SEARCH('Category Rules'!$A$5:$A$23,C80),'Category Rules'!$B$5:$B$23),"Uncategorised")</f>
        <v>Stock and supplies</v>
      </c>
      <c r="H80" s="25" t="str">
        <f aca="false">TEXT(B80,"mmm yyyy")</f>
        <v>Jul 2022</v>
      </c>
    </row>
    <row r="81" customFormat="false" ht="15" hidden="false" customHeight="false" outlineLevel="0" collapsed="false">
      <c r="A81" s="25" t="str">
        <f aca="false">INDEX(Reconciliation!$A$6:$A$10,MATCH(B81,Reconciliation!$B$6:$B$10,1))</f>
        <v>P2</v>
      </c>
      <c r="B81" s="26" t="n">
        <v>44758</v>
      </c>
      <c r="C81" s="25" t="s">
        <v>108</v>
      </c>
      <c r="D81" s="27" t="n">
        <v>250</v>
      </c>
      <c r="E81" s="27"/>
      <c r="F81" s="27" t="n">
        <f aca="false">F80-N(D81)+N(E81)</f>
        <v>1904.14</v>
      </c>
      <c r="G81" s="25" t="str">
        <f aca="false">IFERROR(LOOKUP(2^15,SEARCH('Category Rules'!$A$5:$A$23,C81),'Category Rules'!$B$5:$B$23),"Uncategorised")</f>
        <v>Supplier payments</v>
      </c>
      <c r="H81" s="25" t="str">
        <f aca="false">TEXT(B81,"mmm yyyy")</f>
        <v>Jul 2022</v>
      </c>
    </row>
    <row r="82" customFormat="false" ht="15" hidden="false" customHeight="false" outlineLevel="0" collapsed="false">
      <c r="A82" s="25" t="str">
        <f aca="false">INDEX(Reconciliation!$A$6:$A$10,MATCH(B82,Reconciliation!$B$6:$B$10,1))</f>
        <v>P2</v>
      </c>
      <c r="B82" s="26" t="n">
        <v>44759</v>
      </c>
      <c r="C82" s="25" t="s">
        <v>114</v>
      </c>
      <c r="D82" s="27" t="n">
        <v>77.75</v>
      </c>
      <c r="E82" s="27"/>
      <c r="F82" s="27" t="n">
        <f aca="false">F81-N(D82)+N(E82)</f>
        <v>1826.39</v>
      </c>
      <c r="G82" s="25" t="str">
        <f aca="false">IFERROR(LOOKUP(2^15,SEARCH('Category Rules'!$A$5:$A$23,C82),'Category Rules'!$B$5:$B$23),"Uncategorised")</f>
        <v>Fuel and vehicle</v>
      </c>
      <c r="H82" s="25" t="str">
        <f aca="false">TEXT(B82,"mmm yyyy")</f>
        <v>Jul 2022</v>
      </c>
    </row>
    <row r="83" customFormat="false" ht="15" hidden="false" customHeight="false" outlineLevel="0" collapsed="false">
      <c r="A83" s="25" t="str">
        <f aca="false">INDEX(Reconciliation!$A$6:$A$10,MATCH(B83,Reconciliation!$B$6:$B$10,1))</f>
        <v>P2</v>
      </c>
      <c r="B83" s="26" t="n">
        <v>44760</v>
      </c>
      <c r="C83" s="25" t="s">
        <v>115</v>
      </c>
      <c r="D83" s="27" t="n">
        <v>3.04</v>
      </c>
      <c r="E83" s="27"/>
      <c r="F83" s="27" t="n">
        <f aca="false">F82-N(D83)+N(E83)</f>
        <v>1823.35</v>
      </c>
      <c r="G83" s="25" t="str">
        <f aca="false">IFERROR(LOOKUP(2^15,SEARCH('Category Rules'!$A$5:$A$23,C83),'Category Rules'!$B$5:$B$23),"Uncategorised")</f>
        <v>Donations</v>
      </c>
      <c r="H83" s="25" t="str">
        <f aca="false">TEXT(B83,"mmm yyyy")</f>
        <v>Jul 2022</v>
      </c>
    </row>
    <row r="84" customFormat="false" ht="15" hidden="false" customHeight="false" outlineLevel="0" collapsed="false">
      <c r="A84" s="25" t="str">
        <f aca="false">INDEX(Reconciliation!$A$6:$A$10,MATCH(B84,Reconciliation!$B$6:$B$10,1))</f>
        <v>P2</v>
      </c>
      <c r="B84" s="26" t="n">
        <v>44762</v>
      </c>
      <c r="C84" s="25" t="s">
        <v>116</v>
      </c>
      <c r="D84" s="27" t="n">
        <v>64.03</v>
      </c>
      <c r="E84" s="27"/>
      <c r="F84" s="27" t="n">
        <f aca="false">F83-N(D84)+N(E84)</f>
        <v>1759.32</v>
      </c>
      <c r="G84" s="25" t="str">
        <f aca="false">IFERROR(LOOKUP(2^15,SEARCH('Category Rules'!$A$5:$A$23,C84),'Category Rules'!$B$5:$B$23),"Uncategorised")</f>
        <v>Fuel and vehicle</v>
      </c>
      <c r="H84" s="25" t="str">
        <f aca="false">TEXT(B84,"mmm yyyy")</f>
        <v>Jul 2022</v>
      </c>
    </row>
    <row r="85" customFormat="false" ht="15" hidden="false" customHeight="false" outlineLevel="0" collapsed="false">
      <c r="A85" s="25" t="str">
        <f aca="false">INDEX(Reconciliation!$A$6:$A$10,MATCH(B85,Reconciliation!$B$6:$B$10,1))</f>
        <v>P2</v>
      </c>
      <c r="B85" s="26" t="n">
        <v>44762</v>
      </c>
      <c r="C85" s="25" t="s">
        <v>117</v>
      </c>
      <c r="D85" s="27" t="n">
        <v>76.76</v>
      </c>
      <c r="E85" s="27"/>
      <c r="F85" s="27" t="n">
        <f aca="false">F84-N(D85)+N(E85)</f>
        <v>1682.56</v>
      </c>
      <c r="G85" s="25" t="str">
        <f aca="false">IFERROR(LOOKUP(2^15,SEARCH('Category Rules'!$A$5:$A$23,C85),'Category Rules'!$B$5:$B$23),"Uncategorised")</f>
        <v>Stock and supplies</v>
      </c>
      <c r="H85" s="25" t="str">
        <f aca="false">TEXT(B85,"mmm yyyy")</f>
        <v>Jul 2022</v>
      </c>
    </row>
    <row r="86" customFormat="false" ht="15" hidden="false" customHeight="false" outlineLevel="0" collapsed="false">
      <c r="A86" s="25" t="str">
        <f aca="false">INDEX(Reconciliation!$A$6:$A$10,MATCH(B86,Reconciliation!$B$6:$B$10,1))</f>
        <v>P2</v>
      </c>
      <c r="B86" s="26" t="n">
        <v>44763</v>
      </c>
      <c r="C86" s="25" t="s">
        <v>118</v>
      </c>
      <c r="D86" s="27" t="n">
        <v>9.74</v>
      </c>
      <c r="E86" s="27"/>
      <c r="F86" s="27" t="n">
        <f aca="false">F85-N(D86)+N(E86)</f>
        <v>1672.82</v>
      </c>
      <c r="G86" s="25" t="str">
        <f aca="false">IFERROR(LOOKUP(2^15,SEARCH('Category Rules'!$A$5:$A$23,C86),'Category Rules'!$B$5:$B$23),"Uncategorised")</f>
        <v>Stock and supplies</v>
      </c>
      <c r="H86" s="25" t="str">
        <f aca="false">TEXT(B86,"mmm yyyy")</f>
        <v>Jul 2022</v>
      </c>
    </row>
    <row r="87" customFormat="false" ht="15" hidden="false" customHeight="false" outlineLevel="0" collapsed="false">
      <c r="A87" s="25" t="str">
        <f aca="false">INDEX(Reconciliation!$A$6:$A$10,MATCH(B87,Reconciliation!$B$6:$B$10,1))</f>
        <v>P2</v>
      </c>
      <c r="B87" s="26" t="n">
        <v>44764</v>
      </c>
      <c r="C87" s="25" t="s">
        <v>62</v>
      </c>
      <c r="D87" s="27"/>
      <c r="E87" s="27" t="n">
        <v>106.72</v>
      </c>
      <c r="F87" s="27" t="n">
        <f aca="false">F86-N(D87)+N(E87)</f>
        <v>1779.54</v>
      </c>
      <c r="G87" s="25" t="str">
        <f aca="false">IFERROR(LOOKUP(2^15,SEARCH('Category Rules'!$A$5:$A$23,C87),'Category Rules'!$B$5:$B$23),"Uncategorised")</f>
        <v>Income: client receipts</v>
      </c>
      <c r="H87" s="25" t="str">
        <f aca="false">TEXT(B87,"mmm yyyy")</f>
        <v>Jul 2022</v>
      </c>
    </row>
    <row r="88" customFormat="false" ht="15" hidden="false" customHeight="false" outlineLevel="0" collapsed="false">
      <c r="A88" s="25" t="str">
        <f aca="false">INDEX(Reconciliation!$A$6:$A$10,MATCH(B88,Reconciliation!$B$6:$B$10,1))</f>
        <v>P3</v>
      </c>
      <c r="B88" s="26" t="n">
        <v>44765</v>
      </c>
      <c r="C88" s="25" t="s">
        <v>108</v>
      </c>
      <c r="D88" s="27" t="n">
        <v>1000</v>
      </c>
      <c r="E88" s="27"/>
      <c r="F88" s="27" t="n">
        <f aca="false">F87-N(D88)+N(E88)</f>
        <v>779.54</v>
      </c>
      <c r="G88" s="25" t="str">
        <f aca="false">IFERROR(LOOKUP(2^15,SEARCH('Category Rules'!$A$5:$A$23,C88),'Category Rules'!$B$5:$B$23),"Uncategorised")</f>
        <v>Supplier payments</v>
      </c>
      <c r="H88" s="25" t="str">
        <f aca="false">TEXT(B88,"mmm yyyy")</f>
        <v>Jul 2022</v>
      </c>
    </row>
    <row r="89" customFormat="false" ht="15" hidden="false" customHeight="false" outlineLevel="0" collapsed="false">
      <c r="A89" s="25" t="str">
        <f aca="false">INDEX(Reconciliation!$A$6:$A$10,MATCH(B89,Reconciliation!$B$6:$B$10,1))</f>
        <v>P3</v>
      </c>
      <c r="B89" s="26" t="n">
        <v>44766</v>
      </c>
      <c r="C89" s="25" t="s">
        <v>119</v>
      </c>
      <c r="D89" s="27" t="n">
        <v>7.25</v>
      </c>
      <c r="E89" s="27"/>
      <c r="F89" s="27" t="n">
        <f aca="false">F88-N(D89)+N(E89)</f>
        <v>772.29</v>
      </c>
      <c r="G89" s="25" t="str">
        <f aca="false">IFERROR(LOOKUP(2^15,SEARCH('Category Rules'!$A$5:$A$23,C89),'Category Rules'!$B$5:$B$23),"Uncategorised")</f>
        <v>Meals and subsistence</v>
      </c>
      <c r="H89" s="25" t="str">
        <f aca="false">TEXT(B89,"mmm yyyy")</f>
        <v>Jul 2022</v>
      </c>
    </row>
    <row r="90" customFormat="false" ht="15" hidden="false" customHeight="false" outlineLevel="0" collapsed="false">
      <c r="A90" s="25" t="str">
        <f aca="false">INDEX(Reconciliation!$A$6:$A$10,MATCH(B90,Reconciliation!$B$6:$B$10,1))</f>
        <v>P3</v>
      </c>
      <c r="B90" s="26" t="n">
        <v>44766</v>
      </c>
      <c r="C90" s="25" t="s">
        <v>120</v>
      </c>
      <c r="D90" s="27" t="n">
        <v>37.41</v>
      </c>
      <c r="E90" s="27"/>
      <c r="F90" s="27" t="n">
        <f aca="false">F89-N(D90)+N(E90)</f>
        <v>734.88</v>
      </c>
      <c r="G90" s="25" t="str">
        <f aca="false">IFERROR(LOOKUP(2^15,SEARCH('Category Rules'!$A$5:$A$23,C90),'Category Rules'!$B$5:$B$23),"Uncategorised")</f>
        <v>Stock and supplies</v>
      </c>
      <c r="H90" s="25" t="str">
        <f aca="false">TEXT(B90,"mmm yyyy")</f>
        <v>Jul 2022</v>
      </c>
    </row>
    <row r="91" customFormat="false" ht="15" hidden="false" customHeight="false" outlineLevel="0" collapsed="false">
      <c r="A91" s="25" t="str">
        <f aca="false">INDEX(Reconciliation!$A$6:$A$10,MATCH(B91,Reconciliation!$B$6:$B$10,1))</f>
        <v>P3</v>
      </c>
      <c r="B91" s="26" t="n">
        <v>44766</v>
      </c>
      <c r="C91" s="25" t="s">
        <v>121</v>
      </c>
      <c r="D91" s="27" t="n">
        <v>221.02</v>
      </c>
      <c r="E91" s="27"/>
      <c r="F91" s="27" t="n">
        <f aca="false">F90-N(D91)+N(E91)</f>
        <v>513.86</v>
      </c>
      <c r="G91" s="25" t="str">
        <f aca="false">IFERROR(LOOKUP(2^15,SEARCH('Category Rules'!$A$5:$A$23,C91),'Category Rules'!$B$5:$B$23),"Uncategorised")</f>
        <v>Stock and supplies</v>
      </c>
      <c r="H91" s="25" t="str">
        <f aca="false">TEXT(B91,"mmm yyyy")</f>
        <v>Jul 2022</v>
      </c>
    </row>
    <row r="92" customFormat="false" ht="15" hidden="false" customHeight="false" outlineLevel="0" collapsed="false">
      <c r="A92" s="25" t="str">
        <f aca="false">INDEX(Reconciliation!$A$6:$A$10,MATCH(B92,Reconciliation!$B$6:$B$10,1))</f>
        <v>P3</v>
      </c>
      <c r="B92" s="26" t="n">
        <v>44768</v>
      </c>
      <c r="C92" s="25" t="s">
        <v>122</v>
      </c>
      <c r="D92" s="27"/>
      <c r="E92" s="27" t="n">
        <v>1018.21</v>
      </c>
      <c r="F92" s="27" t="n">
        <f aca="false">F91-N(D92)+N(E92)</f>
        <v>1532.07</v>
      </c>
      <c r="G92" s="25" t="str">
        <f aca="false">IFERROR(LOOKUP(2^15,SEARCH('Category Rules'!$A$5:$A$23,C92),'Category Rules'!$B$5:$B$23),"Uncategorised")</f>
        <v>Income: client receipts</v>
      </c>
      <c r="H92" s="25" t="str">
        <f aca="false">TEXT(B92,"mmm yyyy")</f>
        <v>Jul 2022</v>
      </c>
    </row>
    <row r="93" customFormat="false" ht="15" hidden="false" customHeight="false" outlineLevel="0" collapsed="false">
      <c r="A93" s="25" t="str">
        <f aca="false">INDEX(Reconciliation!$A$6:$A$10,MATCH(B93,Reconciliation!$B$6:$B$10,1))</f>
        <v>P3</v>
      </c>
      <c r="B93" s="26" t="n">
        <v>44769</v>
      </c>
      <c r="C93" s="25" t="s">
        <v>123</v>
      </c>
      <c r="D93" s="27" t="n">
        <v>115.6</v>
      </c>
      <c r="E93" s="27"/>
      <c r="F93" s="27" t="n">
        <f aca="false">F92-N(D93)+N(E93)</f>
        <v>1416.47</v>
      </c>
      <c r="G93" s="25" t="str">
        <f aca="false">IFERROR(LOOKUP(2^15,SEARCH('Category Rules'!$A$5:$A$23,C93),'Category Rules'!$B$5:$B$23),"Uncategorised")</f>
        <v>Cash withdrawals</v>
      </c>
      <c r="H93" s="25" t="str">
        <f aca="false">TEXT(B93,"mmm yyyy")</f>
        <v>Jul 2022</v>
      </c>
    </row>
    <row r="94" customFormat="false" ht="15" hidden="false" customHeight="false" outlineLevel="0" collapsed="false">
      <c r="A94" s="25" t="str">
        <f aca="false">INDEX(Reconciliation!$A$6:$A$10,MATCH(B94,Reconciliation!$B$6:$B$10,1))</f>
        <v>P3</v>
      </c>
      <c r="B94" s="26" t="n">
        <v>44769</v>
      </c>
      <c r="C94" s="25" t="s">
        <v>124</v>
      </c>
      <c r="D94" s="27" t="n">
        <v>62.97</v>
      </c>
      <c r="E94" s="27"/>
      <c r="F94" s="27" t="n">
        <f aca="false">F93-N(D94)+N(E94)</f>
        <v>1353.5</v>
      </c>
      <c r="G94" s="25" t="str">
        <f aca="false">IFERROR(LOOKUP(2^15,SEARCH('Category Rules'!$A$5:$A$23,C94),'Category Rules'!$B$5:$B$23),"Uncategorised")</f>
        <v>Fuel and vehicle</v>
      </c>
      <c r="H94" s="25" t="str">
        <f aca="false">TEXT(B94,"mmm yyyy")</f>
        <v>Jul 2022</v>
      </c>
    </row>
    <row r="95" customFormat="false" ht="15" hidden="false" customHeight="false" outlineLevel="0" collapsed="false">
      <c r="A95" s="25" t="str">
        <f aca="false">INDEX(Reconciliation!$A$6:$A$10,MATCH(B95,Reconciliation!$B$6:$B$10,1))</f>
        <v>P3</v>
      </c>
      <c r="B95" s="26" t="n">
        <v>44770</v>
      </c>
      <c r="C95" s="25" t="s">
        <v>62</v>
      </c>
      <c r="D95" s="27"/>
      <c r="E95" s="27" t="n">
        <v>170.14</v>
      </c>
      <c r="F95" s="27" t="n">
        <f aca="false">F94-N(D95)+N(E95)</f>
        <v>1523.64</v>
      </c>
      <c r="G95" s="25" t="str">
        <f aca="false">IFERROR(LOOKUP(2^15,SEARCH('Category Rules'!$A$5:$A$23,C95),'Category Rules'!$B$5:$B$23),"Uncategorised")</f>
        <v>Income: client receipts</v>
      </c>
      <c r="H95" s="25" t="str">
        <f aca="false">TEXT(B95,"mmm yyyy")</f>
        <v>Jul 2022</v>
      </c>
    </row>
    <row r="96" customFormat="false" ht="15" hidden="false" customHeight="false" outlineLevel="0" collapsed="false">
      <c r="A96" s="25" t="str">
        <f aca="false">INDEX(Reconciliation!$A$6:$A$10,MATCH(B96,Reconciliation!$B$6:$B$10,1))</f>
        <v>P3</v>
      </c>
      <c r="B96" s="26" t="n">
        <v>44771</v>
      </c>
      <c r="C96" s="25" t="s">
        <v>67</v>
      </c>
      <c r="D96" s="27"/>
      <c r="E96" s="27" t="n">
        <v>250</v>
      </c>
      <c r="F96" s="27" t="n">
        <f aca="false">F95-N(D96)+N(E96)</f>
        <v>1773.64</v>
      </c>
      <c r="G96" s="25" t="str">
        <f aca="false">IFERROR(LOOKUP(2^15,SEARCH('Category Rules'!$A$5:$A$23,C96),'Category Rules'!$B$5:$B$23),"Uncategorised")</f>
        <v>Income: transfers in</v>
      </c>
      <c r="H96" s="25" t="str">
        <f aca="false">TEXT(B96,"mmm yyyy")</f>
        <v>Jul 2022</v>
      </c>
    </row>
    <row r="97" customFormat="false" ht="15" hidden="false" customHeight="false" outlineLevel="0" collapsed="false">
      <c r="A97" s="25" t="str">
        <f aca="false">INDEX(Reconciliation!$A$6:$A$10,MATCH(B97,Reconciliation!$B$6:$B$10,1))</f>
        <v>P3</v>
      </c>
      <c r="B97" s="26" t="n">
        <v>44771</v>
      </c>
      <c r="C97" s="25" t="s">
        <v>125</v>
      </c>
      <c r="D97" s="27" t="n">
        <v>56.88</v>
      </c>
      <c r="E97" s="27"/>
      <c r="F97" s="27" t="n">
        <f aca="false">F96-N(D97)+N(E97)</f>
        <v>1716.76</v>
      </c>
      <c r="G97" s="25" t="str">
        <f aca="false">IFERROR(LOOKUP(2^15,SEARCH('Category Rules'!$A$5:$A$23,C97),'Category Rules'!$B$5:$B$23),"Uncategorised")</f>
        <v>Stock and supplies</v>
      </c>
      <c r="H97" s="25" t="str">
        <f aca="false">TEXT(B97,"mmm yyyy")</f>
        <v>Jul 2022</v>
      </c>
    </row>
    <row r="98" customFormat="false" ht="15" hidden="false" customHeight="false" outlineLevel="0" collapsed="false">
      <c r="A98" s="25" t="str">
        <f aca="false">INDEX(Reconciliation!$A$6:$A$10,MATCH(B98,Reconciliation!$B$6:$B$10,1))</f>
        <v>P3</v>
      </c>
      <c r="B98" s="26" t="n">
        <v>44773</v>
      </c>
      <c r="C98" s="25" t="s">
        <v>126</v>
      </c>
      <c r="D98" s="27" t="n">
        <v>223.91</v>
      </c>
      <c r="E98" s="27"/>
      <c r="F98" s="27" t="n">
        <f aca="false">F97-N(D98)+N(E98)</f>
        <v>1492.85</v>
      </c>
      <c r="G98" s="25" t="str">
        <f aca="false">IFERROR(LOOKUP(2^15,SEARCH('Category Rules'!$A$5:$A$23,C98),'Category Rules'!$B$5:$B$23),"Uncategorised")</f>
        <v>Stock and supplies</v>
      </c>
      <c r="H98" s="25" t="str">
        <f aca="false">TEXT(B98,"mmm yyyy")</f>
        <v>Jul 2022</v>
      </c>
    </row>
    <row r="99" customFormat="false" ht="15" hidden="false" customHeight="false" outlineLevel="0" collapsed="false">
      <c r="A99" s="25" t="str">
        <f aca="false">INDEX(Reconciliation!$A$6:$A$10,MATCH(B99,Reconciliation!$B$6:$B$10,1))</f>
        <v>P3</v>
      </c>
      <c r="B99" s="26" t="n">
        <v>44773</v>
      </c>
      <c r="C99" s="25" t="s">
        <v>127</v>
      </c>
      <c r="D99" s="27" t="n">
        <v>55.19</v>
      </c>
      <c r="E99" s="27"/>
      <c r="F99" s="27" t="n">
        <f aca="false">F98-N(D99)+N(E99)</f>
        <v>1437.66</v>
      </c>
      <c r="G99" s="25" t="str">
        <f aca="false">IFERROR(LOOKUP(2^15,SEARCH('Category Rules'!$A$5:$A$23,C99),'Category Rules'!$B$5:$B$23),"Uncategorised")</f>
        <v>Stock and supplies</v>
      </c>
      <c r="H99" s="25" t="str">
        <f aca="false">TEXT(B99,"mmm yyyy")</f>
        <v>Jul 2022</v>
      </c>
    </row>
    <row r="100" customFormat="false" ht="15" hidden="false" customHeight="false" outlineLevel="0" collapsed="false">
      <c r="A100" s="25" t="str">
        <f aca="false">INDEX(Reconciliation!$A$6:$A$10,MATCH(B100,Reconciliation!$B$6:$B$10,1))</f>
        <v>P3</v>
      </c>
      <c r="B100" s="26" t="n">
        <v>44773</v>
      </c>
      <c r="C100" s="25" t="s">
        <v>128</v>
      </c>
      <c r="D100" s="27" t="n">
        <v>6.17</v>
      </c>
      <c r="E100" s="27"/>
      <c r="F100" s="27" t="n">
        <f aca="false">F99-N(D100)+N(E100)</f>
        <v>1431.49</v>
      </c>
      <c r="G100" s="25" t="str">
        <f aca="false">IFERROR(LOOKUP(2^15,SEARCH('Category Rules'!$A$5:$A$23,C100),'Category Rules'!$B$5:$B$23),"Uncategorised")</f>
        <v>Stock and supplies</v>
      </c>
      <c r="H100" s="25" t="str">
        <f aca="false">TEXT(B100,"mmm yyyy")</f>
        <v>Jul 2022</v>
      </c>
    </row>
    <row r="101" customFormat="false" ht="15" hidden="false" customHeight="false" outlineLevel="0" collapsed="false">
      <c r="A101" s="25" t="str">
        <f aca="false">INDEX(Reconciliation!$A$6:$A$10,MATCH(B101,Reconciliation!$B$6:$B$10,1))</f>
        <v>P3</v>
      </c>
      <c r="B101" s="26" t="n">
        <v>44774</v>
      </c>
      <c r="C101" s="25" t="s">
        <v>71</v>
      </c>
      <c r="D101" s="27" t="n">
        <v>8.2</v>
      </c>
      <c r="E101" s="27"/>
      <c r="F101" s="27" t="n">
        <f aca="false">F100-N(D101)+N(E101)</f>
        <v>1423.29</v>
      </c>
      <c r="G101" s="25" t="str">
        <f aca="false">IFERROR(LOOKUP(2^15,SEARCH('Category Rules'!$A$5:$A$23,C101),'Category Rules'!$B$5:$B$23),"Uncategorised")</f>
        <v>Subscriptions and utilities</v>
      </c>
      <c r="H101" s="25" t="str">
        <f aca="false">TEXT(B101,"mmm yyyy")</f>
        <v>Aug 2022</v>
      </c>
    </row>
    <row r="102" customFormat="false" ht="15" hidden="false" customHeight="false" outlineLevel="0" collapsed="false">
      <c r="A102" s="25" t="str">
        <f aca="false">INDEX(Reconciliation!$A$6:$A$10,MATCH(B102,Reconciliation!$B$6:$B$10,1))</f>
        <v>P3</v>
      </c>
      <c r="B102" s="26" t="n">
        <v>44776</v>
      </c>
      <c r="C102" s="25" t="s">
        <v>64</v>
      </c>
      <c r="D102" s="27" t="n">
        <v>500</v>
      </c>
      <c r="E102" s="27"/>
      <c r="F102" s="27" t="n">
        <f aca="false">F101-N(D102)+N(E102)</f>
        <v>923.29</v>
      </c>
      <c r="G102" s="25" t="str">
        <f aca="false">IFERROR(LOOKUP(2^15,SEARCH('Category Rules'!$A$5:$A$23,C102),'Category Rules'!$B$5:$B$23),"Uncategorised")</f>
        <v>Transfers out</v>
      </c>
      <c r="H102" s="25" t="str">
        <f aca="false">TEXT(B102,"mmm yyyy")</f>
        <v>Aug 2022</v>
      </c>
    </row>
    <row r="103" customFormat="false" ht="15" hidden="false" customHeight="false" outlineLevel="0" collapsed="false">
      <c r="A103" s="25" t="str">
        <f aca="false">INDEX(Reconciliation!$A$6:$A$10,MATCH(B103,Reconciliation!$B$6:$B$10,1))</f>
        <v>P3</v>
      </c>
      <c r="B103" s="26" t="n">
        <v>44776</v>
      </c>
      <c r="C103" s="25" t="s">
        <v>64</v>
      </c>
      <c r="D103" s="27" t="n">
        <v>25</v>
      </c>
      <c r="E103" s="27"/>
      <c r="F103" s="27" t="n">
        <f aca="false">F102-N(D103)+N(E103)</f>
        <v>898.29</v>
      </c>
      <c r="G103" s="25" t="str">
        <f aca="false">IFERROR(LOOKUP(2^15,SEARCH('Category Rules'!$A$5:$A$23,C103),'Category Rules'!$B$5:$B$23),"Uncategorised")</f>
        <v>Transfers out</v>
      </c>
      <c r="H103" s="25" t="str">
        <f aca="false">TEXT(B103,"mmm yyyy")</f>
        <v>Aug 2022</v>
      </c>
    </row>
    <row r="104" customFormat="false" ht="15" hidden="false" customHeight="false" outlineLevel="0" collapsed="false">
      <c r="A104" s="25" t="str">
        <f aca="false">INDEX(Reconciliation!$A$6:$A$10,MATCH(B104,Reconciliation!$B$6:$B$10,1))</f>
        <v>P3</v>
      </c>
      <c r="B104" s="26" t="n">
        <v>44777</v>
      </c>
      <c r="C104" s="25" t="s">
        <v>62</v>
      </c>
      <c r="D104" s="27"/>
      <c r="E104" s="27" t="n">
        <v>615.8</v>
      </c>
      <c r="F104" s="27" t="n">
        <f aca="false">F103-N(D104)+N(E104)</f>
        <v>1514.09</v>
      </c>
      <c r="G104" s="25" t="str">
        <f aca="false">IFERROR(LOOKUP(2^15,SEARCH('Category Rules'!$A$5:$A$23,C104),'Category Rules'!$B$5:$B$23),"Uncategorised")</f>
        <v>Income: client receipts</v>
      </c>
      <c r="H104" s="25" t="str">
        <f aca="false">TEXT(B104,"mmm yyyy")</f>
        <v>Aug 2022</v>
      </c>
    </row>
    <row r="105" customFormat="false" ht="15" hidden="false" customHeight="false" outlineLevel="0" collapsed="false">
      <c r="A105" s="25" t="str">
        <f aca="false">INDEX(Reconciliation!$A$6:$A$10,MATCH(B105,Reconciliation!$B$6:$B$10,1))</f>
        <v>P3</v>
      </c>
      <c r="B105" s="26" t="n">
        <v>44778</v>
      </c>
      <c r="C105" s="25" t="s">
        <v>129</v>
      </c>
      <c r="D105" s="27" t="n">
        <v>8.21</v>
      </c>
      <c r="E105" s="27"/>
      <c r="F105" s="27" t="n">
        <f aca="false">F104-N(D105)+N(E105)</f>
        <v>1505.88</v>
      </c>
      <c r="G105" s="25" t="str">
        <f aca="false">IFERROR(LOOKUP(2^15,SEARCH('Category Rules'!$A$5:$A$23,C105),'Category Rules'!$B$5:$B$23),"Uncategorised")</f>
        <v>Stock and supplies</v>
      </c>
      <c r="H105" s="25" t="str">
        <f aca="false">TEXT(B105,"mmm yyyy")</f>
        <v>Aug 2022</v>
      </c>
    </row>
    <row r="106" customFormat="false" ht="15" hidden="false" customHeight="false" outlineLevel="0" collapsed="false">
      <c r="A106" s="25" t="str">
        <f aca="false">INDEX(Reconciliation!$A$6:$A$10,MATCH(B106,Reconciliation!$B$6:$B$10,1))</f>
        <v>P3</v>
      </c>
      <c r="B106" s="26" t="n">
        <v>44780</v>
      </c>
      <c r="C106" s="25" t="s">
        <v>80</v>
      </c>
      <c r="D106" s="27" t="n">
        <v>8.5</v>
      </c>
      <c r="E106" s="27"/>
      <c r="F106" s="27" t="n">
        <f aca="false">F105-N(D106)+N(E106)</f>
        <v>1497.38</v>
      </c>
      <c r="G106" s="25" t="str">
        <f aca="false">IFERROR(LOOKUP(2^15,SEARCH('Category Rules'!$A$5:$A$23,C106),'Category Rules'!$B$5:$B$23),"Uncategorised")</f>
        <v>Bank charges</v>
      </c>
      <c r="H106" s="25" t="str">
        <f aca="false">TEXT(B106,"mmm yyyy")</f>
        <v>Aug 2022</v>
      </c>
    </row>
    <row r="107" customFormat="false" ht="15" hidden="false" customHeight="false" outlineLevel="0" collapsed="false">
      <c r="A107" s="25" t="str">
        <f aca="false">INDEX(Reconciliation!$A$6:$A$10,MATCH(B107,Reconciliation!$B$6:$B$10,1))</f>
        <v>P3</v>
      </c>
      <c r="B107" s="26" t="n">
        <v>44781</v>
      </c>
      <c r="C107" s="25" t="s">
        <v>62</v>
      </c>
      <c r="D107" s="27"/>
      <c r="E107" s="27" t="n">
        <v>443.67</v>
      </c>
      <c r="F107" s="27" t="n">
        <f aca="false">F106-N(D107)+N(E107)</f>
        <v>1941.05</v>
      </c>
      <c r="G107" s="25" t="str">
        <f aca="false">IFERROR(LOOKUP(2^15,SEARCH('Category Rules'!$A$5:$A$23,C107),'Category Rules'!$B$5:$B$23),"Uncategorised")</f>
        <v>Income: client receipts</v>
      </c>
      <c r="H107" s="25" t="str">
        <f aca="false">TEXT(B107,"mmm yyyy")</f>
        <v>Aug 2022</v>
      </c>
    </row>
    <row r="108" customFormat="false" ht="15" hidden="false" customHeight="false" outlineLevel="0" collapsed="false">
      <c r="A108" s="25" t="str">
        <f aca="false">INDEX(Reconciliation!$A$6:$A$10,MATCH(B108,Reconciliation!$B$6:$B$10,1))</f>
        <v>P3</v>
      </c>
      <c r="B108" s="26" t="n">
        <v>44781</v>
      </c>
      <c r="C108" s="25" t="s">
        <v>130</v>
      </c>
      <c r="D108" s="27" t="n">
        <v>54.51</v>
      </c>
      <c r="E108" s="27"/>
      <c r="F108" s="27" t="n">
        <f aca="false">F107-N(D108)+N(E108)</f>
        <v>1886.54</v>
      </c>
      <c r="G108" s="25" t="str">
        <f aca="false">IFERROR(LOOKUP(2^15,SEARCH('Category Rules'!$A$5:$A$23,C108),'Category Rules'!$B$5:$B$23),"Uncategorised")</f>
        <v>Stock and supplies</v>
      </c>
      <c r="H108" s="25" t="str">
        <f aca="false">TEXT(B108,"mmm yyyy")</f>
        <v>Aug 2022</v>
      </c>
    </row>
    <row r="109" customFormat="false" ht="15" hidden="false" customHeight="false" outlineLevel="0" collapsed="false">
      <c r="A109" s="25" t="str">
        <f aca="false">INDEX(Reconciliation!$A$6:$A$10,MATCH(B109,Reconciliation!$B$6:$B$10,1))</f>
        <v>P3</v>
      </c>
      <c r="B109" s="26" t="n">
        <v>44781</v>
      </c>
      <c r="C109" s="25" t="s">
        <v>62</v>
      </c>
      <c r="D109" s="27"/>
      <c r="E109" s="27" t="n">
        <v>477.57</v>
      </c>
      <c r="F109" s="27" t="n">
        <f aca="false">F108-N(D109)+N(E109)</f>
        <v>2364.11</v>
      </c>
      <c r="G109" s="25" t="str">
        <f aca="false">IFERROR(LOOKUP(2^15,SEARCH('Category Rules'!$A$5:$A$23,C109),'Category Rules'!$B$5:$B$23),"Uncategorised")</f>
        <v>Income: client receipts</v>
      </c>
      <c r="H109" s="25" t="str">
        <f aca="false">TEXT(B109,"mmm yyyy")</f>
        <v>Aug 2022</v>
      </c>
    </row>
    <row r="110" customFormat="false" ht="15" hidden="false" customHeight="false" outlineLevel="0" collapsed="false">
      <c r="A110" s="25" t="str">
        <f aca="false">INDEX(Reconciliation!$A$6:$A$10,MATCH(B110,Reconciliation!$B$6:$B$10,1))</f>
        <v>P3</v>
      </c>
      <c r="B110" s="26" t="n">
        <v>44781</v>
      </c>
      <c r="C110" s="25" t="s">
        <v>64</v>
      </c>
      <c r="D110" s="27" t="n">
        <v>500</v>
      </c>
      <c r="E110" s="27"/>
      <c r="F110" s="27" t="n">
        <f aca="false">F109-N(D110)+N(E110)</f>
        <v>1864.11</v>
      </c>
      <c r="G110" s="25" t="str">
        <f aca="false">IFERROR(LOOKUP(2^15,SEARCH('Category Rules'!$A$5:$A$23,C110),'Category Rules'!$B$5:$B$23),"Uncategorised")</f>
        <v>Transfers out</v>
      </c>
      <c r="H110" s="25" t="str">
        <f aca="false">TEXT(B110,"mmm yyyy")</f>
        <v>Aug 2022</v>
      </c>
    </row>
    <row r="111" customFormat="false" ht="15" hidden="false" customHeight="false" outlineLevel="0" collapsed="false">
      <c r="A111" s="25" t="str">
        <f aca="false">INDEX(Reconciliation!$A$6:$A$10,MATCH(B111,Reconciliation!$B$6:$B$10,1))</f>
        <v>P3</v>
      </c>
      <c r="B111" s="26" t="n">
        <v>44781</v>
      </c>
      <c r="C111" s="25" t="s">
        <v>62</v>
      </c>
      <c r="D111" s="27"/>
      <c r="E111" s="27" t="n">
        <v>541.88</v>
      </c>
      <c r="F111" s="27" t="n">
        <f aca="false">F110-N(D111)+N(E111)</f>
        <v>2405.99</v>
      </c>
      <c r="G111" s="25" t="str">
        <f aca="false">IFERROR(LOOKUP(2^15,SEARCH('Category Rules'!$A$5:$A$23,C111),'Category Rules'!$B$5:$B$23),"Uncategorised")</f>
        <v>Income: client receipts</v>
      </c>
      <c r="H111" s="25" t="str">
        <f aca="false">TEXT(B111,"mmm yyyy")</f>
        <v>Aug 2022</v>
      </c>
    </row>
    <row r="112" customFormat="false" ht="15" hidden="false" customHeight="false" outlineLevel="0" collapsed="false">
      <c r="A112" s="25" t="str">
        <f aca="false">INDEX(Reconciliation!$A$6:$A$10,MATCH(B112,Reconciliation!$B$6:$B$10,1))</f>
        <v>P3</v>
      </c>
      <c r="B112" s="26" t="n">
        <v>44782</v>
      </c>
      <c r="C112" s="25" t="s">
        <v>131</v>
      </c>
      <c r="D112" s="27" t="n">
        <v>39.64</v>
      </c>
      <c r="E112" s="27"/>
      <c r="F112" s="27" t="n">
        <f aca="false">F111-N(D112)+N(E112)</f>
        <v>2366.35</v>
      </c>
      <c r="G112" s="25" t="str">
        <f aca="false">IFERROR(LOOKUP(2^15,SEARCH('Category Rules'!$A$5:$A$23,C112),'Category Rules'!$B$5:$B$23),"Uncategorised")</f>
        <v>Stock and supplies</v>
      </c>
      <c r="H112" s="25" t="str">
        <f aca="false">TEXT(B112,"mmm yyyy")</f>
        <v>Aug 2022</v>
      </c>
    </row>
    <row r="113" customFormat="false" ht="15" hidden="false" customHeight="false" outlineLevel="0" collapsed="false">
      <c r="A113" s="25" t="str">
        <f aca="false">INDEX(Reconciliation!$A$6:$A$10,MATCH(B113,Reconciliation!$B$6:$B$10,1))</f>
        <v>P3</v>
      </c>
      <c r="B113" s="26" t="n">
        <v>44785</v>
      </c>
      <c r="C113" s="25" t="s">
        <v>64</v>
      </c>
      <c r="D113" s="27" t="n">
        <v>200</v>
      </c>
      <c r="E113" s="27"/>
      <c r="F113" s="27" t="n">
        <f aca="false">F112-N(D113)+N(E113)</f>
        <v>2166.35</v>
      </c>
      <c r="G113" s="25" t="str">
        <f aca="false">IFERROR(LOOKUP(2^15,SEARCH('Category Rules'!$A$5:$A$23,C113),'Category Rules'!$B$5:$B$23),"Uncategorised")</f>
        <v>Transfers out</v>
      </c>
      <c r="H113" s="25" t="str">
        <f aca="false">TEXT(B113,"mmm yyyy")</f>
        <v>Aug 2022</v>
      </c>
    </row>
    <row r="114" customFormat="false" ht="15" hidden="false" customHeight="false" outlineLevel="0" collapsed="false">
      <c r="A114" s="25" t="str">
        <f aca="false">INDEX(Reconciliation!$A$6:$A$10,MATCH(B114,Reconciliation!$B$6:$B$10,1))</f>
        <v>P3</v>
      </c>
      <c r="B114" s="26" t="n">
        <v>44785</v>
      </c>
      <c r="C114" s="25" t="s">
        <v>132</v>
      </c>
      <c r="D114" s="27" t="n">
        <v>6.22</v>
      </c>
      <c r="E114" s="27"/>
      <c r="F114" s="27" t="n">
        <f aca="false">F113-N(D114)+N(E114)</f>
        <v>2160.13</v>
      </c>
      <c r="G114" s="25" t="str">
        <f aca="false">IFERROR(LOOKUP(2^15,SEARCH('Category Rules'!$A$5:$A$23,C114),'Category Rules'!$B$5:$B$23),"Uncategorised")</f>
        <v>Donations</v>
      </c>
      <c r="H114" s="25" t="str">
        <f aca="false">TEXT(B114,"mmm yyyy")</f>
        <v>Aug 2022</v>
      </c>
    </row>
    <row r="115" customFormat="false" ht="15" hidden="false" customHeight="false" outlineLevel="0" collapsed="false">
      <c r="A115" s="25" t="str">
        <f aca="false">INDEX(Reconciliation!$A$6:$A$10,MATCH(B115,Reconciliation!$B$6:$B$10,1))</f>
        <v>P3</v>
      </c>
      <c r="B115" s="26" t="n">
        <v>44785</v>
      </c>
      <c r="C115" s="25" t="s">
        <v>133</v>
      </c>
      <c r="D115" s="27" t="n">
        <v>5.12</v>
      </c>
      <c r="E115" s="27"/>
      <c r="F115" s="27" t="n">
        <f aca="false">F114-N(D115)+N(E115)</f>
        <v>2155.01</v>
      </c>
      <c r="G115" s="25" t="str">
        <f aca="false">IFERROR(LOOKUP(2^15,SEARCH('Category Rules'!$A$5:$A$23,C115),'Category Rules'!$B$5:$B$23),"Uncategorised")</f>
        <v>Donations</v>
      </c>
      <c r="H115" s="25" t="str">
        <f aca="false">TEXT(B115,"mmm yyyy")</f>
        <v>Aug 2022</v>
      </c>
    </row>
    <row r="116" customFormat="false" ht="15" hidden="false" customHeight="false" outlineLevel="0" collapsed="false">
      <c r="A116" s="25" t="str">
        <f aca="false">INDEX(Reconciliation!$A$6:$A$10,MATCH(B116,Reconciliation!$B$6:$B$10,1))</f>
        <v>P3</v>
      </c>
      <c r="B116" s="26" t="n">
        <v>44785</v>
      </c>
      <c r="C116" s="25" t="s">
        <v>134</v>
      </c>
      <c r="D116" s="27" t="n">
        <v>227.54</v>
      </c>
      <c r="E116" s="27"/>
      <c r="F116" s="27" t="n">
        <f aca="false">F115-N(D116)+N(E116)</f>
        <v>1927.47</v>
      </c>
      <c r="G116" s="25" t="str">
        <f aca="false">IFERROR(LOOKUP(2^15,SEARCH('Category Rules'!$A$5:$A$23,C116),'Category Rules'!$B$5:$B$23),"Uncategorised")</f>
        <v>Stock and supplies</v>
      </c>
      <c r="H116" s="25" t="str">
        <f aca="false">TEXT(B116,"mmm yyyy")</f>
        <v>Aug 2022</v>
      </c>
    </row>
    <row r="117" customFormat="false" ht="15" hidden="false" customHeight="false" outlineLevel="0" collapsed="false">
      <c r="A117" s="25" t="str">
        <f aca="false">INDEX(Reconciliation!$A$6:$A$10,MATCH(B117,Reconciliation!$B$6:$B$10,1))</f>
        <v>P3</v>
      </c>
      <c r="B117" s="26" t="n">
        <v>44785</v>
      </c>
      <c r="C117" s="25" t="s">
        <v>62</v>
      </c>
      <c r="D117" s="27"/>
      <c r="E117" s="27" t="n">
        <v>158.97</v>
      </c>
      <c r="F117" s="27" t="n">
        <f aca="false">F116-N(D117)+N(E117)</f>
        <v>2086.44</v>
      </c>
      <c r="G117" s="25" t="str">
        <f aca="false">IFERROR(LOOKUP(2^15,SEARCH('Category Rules'!$A$5:$A$23,C117),'Category Rules'!$B$5:$B$23),"Uncategorised")</f>
        <v>Income: client receipts</v>
      </c>
      <c r="H117" s="25" t="str">
        <f aca="false">TEXT(B117,"mmm yyyy")</f>
        <v>Aug 2022</v>
      </c>
    </row>
    <row r="118" customFormat="false" ht="15" hidden="false" customHeight="false" outlineLevel="0" collapsed="false">
      <c r="A118" s="25" t="str">
        <f aca="false">INDEX(Reconciliation!$A$6:$A$10,MATCH(B118,Reconciliation!$B$6:$B$10,1))</f>
        <v>P3</v>
      </c>
      <c r="B118" s="26" t="n">
        <v>44786</v>
      </c>
      <c r="C118" s="25" t="s">
        <v>64</v>
      </c>
      <c r="D118" s="27" t="n">
        <v>100</v>
      </c>
      <c r="E118" s="27"/>
      <c r="F118" s="27" t="n">
        <f aca="false">F117-N(D118)+N(E118)</f>
        <v>1986.44</v>
      </c>
      <c r="G118" s="25" t="str">
        <f aca="false">IFERROR(LOOKUP(2^15,SEARCH('Category Rules'!$A$5:$A$23,C118),'Category Rules'!$B$5:$B$23),"Uncategorised")</f>
        <v>Transfers out</v>
      </c>
      <c r="H118" s="25" t="str">
        <f aca="false">TEXT(B118,"mmm yyyy")</f>
        <v>Aug 2022</v>
      </c>
    </row>
    <row r="119" customFormat="false" ht="15" hidden="false" customHeight="false" outlineLevel="0" collapsed="false">
      <c r="A119" s="25" t="str">
        <f aca="false">INDEX(Reconciliation!$A$6:$A$10,MATCH(B119,Reconciliation!$B$6:$B$10,1))</f>
        <v>P3</v>
      </c>
      <c r="B119" s="26" t="n">
        <v>44788</v>
      </c>
      <c r="C119" s="25" t="s">
        <v>135</v>
      </c>
      <c r="D119" s="27" t="n">
        <v>90.91</v>
      </c>
      <c r="E119" s="27"/>
      <c r="F119" s="27" t="n">
        <f aca="false">F118-N(D119)+N(E119)</f>
        <v>1895.53</v>
      </c>
      <c r="G119" s="25" t="str">
        <f aca="false">IFERROR(LOOKUP(2^15,SEARCH('Category Rules'!$A$5:$A$23,C119),'Category Rules'!$B$5:$B$23),"Uncategorised")</f>
        <v>Fuel and vehicle</v>
      </c>
      <c r="H119" s="25" t="str">
        <f aca="false">TEXT(B119,"mmm yyyy")</f>
        <v>Aug 2022</v>
      </c>
    </row>
    <row r="120" customFormat="false" ht="15" hidden="false" customHeight="false" outlineLevel="0" collapsed="false">
      <c r="A120" s="25" t="str">
        <f aca="false">INDEX(Reconciliation!$A$6:$A$10,MATCH(B120,Reconciliation!$B$6:$B$10,1))</f>
        <v>P3</v>
      </c>
      <c r="B120" s="26" t="n">
        <v>44788</v>
      </c>
      <c r="C120" s="25" t="s">
        <v>136</v>
      </c>
      <c r="D120" s="27" t="n">
        <v>15.21</v>
      </c>
      <c r="E120" s="27"/>
      <c r="F120" s="27" t="n">
        <f aca="false">F119-N(D120)+N(E120)</f>
        <v>1880.32</v>
      </c>
      <c r="G120" s="25" t="str">
        <f aca="false">IFERROR(LOOKUP(2^15,SEARCH('Category Rules'!$A$5:$A$23,C120),'Category Rules'!$B$5:$B$23),"Uncategorised")</f>
        <v>Donations</v>
      </c>
      <c r="H120" s="25" t="str">
        <f aca="false">TEXT(B120,"mmm yyyy")</f>
        <v>Aug 2022</v>
      </c>
    </row>
    <row r="121" customFormat="false" ht="15" hidden="false" customHeight="false" outlineLevel="0" collapsed="false">
      <c r="A121" s="25" t="str">
        <f aca="false">INDEX(Reconciliation!$A$6:$A$10,MATCH(B121,Reconciliation!$B$6:$B$10,1))</f>
        <v>P3</v>
      </c>
      <c r="B121" s="26" t="n">
        <v>44788</v>
      </c>
      <c r="C121" s="25" t="s">
        <v>137</v>
      </c>
      <c r="D121" s="27" t="n">
        <v>42.5</v>
      </c>
      <c r="E121" s="27"/>
      <c r="F121" s="27" t="n">
        <f aca="false">F120-N(D121)+N(E121)</f>
        <v>1837.82</v>
      </c>
      <c r="G121" s="25" t="str">
        <f aca="false">IFERROR(LOOKUP(2^15,SEARCH('Category Rules'!$A$5:$A$23,C121),'Category Rules'!$B$5:$B$23),"Uncategorised")</f>
        <v>Fuel and vehicle</v>
      </c>
      <c r="H121" s="25" t="str">
        <f aca="false">TEXT(B121,"mmm yyyy")</f>
        <v>Aug 2022</v>
      </c>
    </row>
    <row r="122" customFormat="false" ht="15" hidden="false" customHeight="false" outlineLevel="0" collapsed="false">
      <c r="A122" s="25" t="str">
        <f aca="false">INDEX(Reconciliation!$A$6:$A$10,MATCH(B122,Reconciliation!$B$6:$B$10,1))</f>
        <v>P3</v>
      </c>
      <c r="B122" s="26" t="n">
        <v>44790</v>
      </c>
      <c r="C122" s="25" t="s">
        <v>138</v>
      </c>
      <c r="D122" s="27" t="n">
        <v>17.95</v>
      </c>
      <c r="E122" s="27"/>
      <c r="F122" s="27" t="n">
        <f aca="false">F121-N(D122)+N(E122)</f>
        <v>1819.87</v>
      </c>
      <c r="G122" s="25" t="str">
        <f aca="false">IFERROR(LOOKUP(2^15,SEARCH('Category Rules'!$A$5:$A$23,C122),'Category Rules'!$B$5:$B$23),"Uncategorised")</f>
        <v>Health and welfare</v>
      </c>
      <c r="H122" s="25" t="str">
        <f aca="false">TEXT(B122,"mmm yyyy")</f>
        <v>Aug 2022</v>
      </c>
    </row>
    <row r="123" customFormat="false" ht="15" hidden="false" customHeight="false" outlineLevel="0" collapsed="false">
      <c r="A123" s="25" t="str">
        <f aca="false">INDEX(Reconciliation!$A$6:$A$10,MATCH(B123,Reconciliation!$B$6:$B$10,1))</f>
        <v>P3</v>
      </c>
      <c r="B123" s="26" t="n">
        <v>44791</v>
      </c>
      <c r="C123" s="25" t="s">
        <v>139</v>
      </c>
      <c r="D123" s="27" t="n">
        <v>174.92</v>
      </c>
      <c r="E123" s="27"/>
      <c r="F123" s="27" t="n">
        <f aca="false">F122-N(D123)+N(E123)</f>
        <v>1644.95</v>
      </c>
      <c r="G123" s="25" t="str">
        <f aca="false">IFERROR(LOOKUP(2^15,SEARCH('Category Rules'!$A$5:$A$23,C123),'Category Rules'!$B$5:$B$23),"Uncategorised")</f>
        <v>Stock and supplies</v>
      </c>
      <c r="H123" s="25" t="str">
        <f aca="false">TEXT(B123,"mmm yyyy")</f>
        <v>Aug 2022</v>
      </c>
    </row>
    <row r="124" customFormat="false" ht="15" hidden="false" customHeight="false" outlineLevel="0" collapsed="false">
      <c r="A124" s="25" t="str">
        <f aca="false">INDEX(Reconciliation!$A$6:$A$10,MATCH(B124,Reconciliation!$B$6:$B$10,1))</f>
        <v>P3</v>
      </c>
      <c r="B124" s="26" t="n">
        <v>44791</v>
      </c>
      <c r="C124" s="25" t="s">
        <v>67</v>
      </c>
      <c r="D124" s="27"/>
      <c r="E124" s="27" t="n">
        <v>200</v>
      </c>
      <c r="F124" s="27" t="n">
        <f aca="false">F123-N(D124)+N(E124)</f>
        <v>1844.95</v>
      </c>
      <c r="G124" s="25" t="str">
        <f aca="false">IFERROR(LOOKUP(2^15,SEARCH('Category Rules'!$A$5:$A$23,C124),'Category Rules'!$B$5:$B$23),"Uncategorised")</f>
        <v>Income: transfers in</v>
      </c>
      <c r="H124" s="25" t="str">
        <f aca="false">TEXT(B124,"mmm yyyy")</f>
        <v>Aug 2022</v>
      </c>
    </row>
    <row r="125" customFormat="false" ht="15" hidden="false" customHeight="false" outlineLevel="0" collapsed="false">
      <c r="A125" s="25" t="str">
        <f aca="false">INDEX(Reconciliation!$A$6:$A$10,MATCH(B125,Reconciliation!$B$6:$B$10,1))</f>
        <v>P3</v>
      </c>
      <c r="B125" s="26" t="n">
        <v>44792</v>
      </c>
      <c r="C125" s="25" t="s">
        <v>62</v>
      </c>
      <c r="D125" s="27"/>
      <c r="E125" s="27" t="n">
        <v>470.76</v>
      </c>
      <c r="F125" s="27" t="n">
        <f aca="false">F124-N(D125)+N(E125)</f>
        <v>2315.71</v>
      </c>
      <c r="G125" s="25" t="str">
        <f aca="false">IFERROR(LOOKUP(2^15,SEARCH('Category Rules'!$A$5:$A$23,C125),'Category Rules'!$B$5:$B$23),"Uncategorised")</f>
        <v>Income: client receipts</v>
      </c>
      <c r="H125" s="25" t="str">
        <f aca="false">TEXT(B125,"mmm yyyy")</f>
        <v>Aug 2022</v>
      </c>
    </row>
    <row r="126" customFormat="false" ht="15" hidden="false" customHeight="false" outlineLevel="0" collapsed="false">
      <c r="A126" s="25" t="str">
        <f aca="false">INDEX(Reconciliation!$A$6:$A$10,MATCH(B126,Reconciliation!$B$6:$B$10,1))</f>
        <v>P3</v>
      </c>
      <c r="B126" s="26" t="n">
        <v>44793</v>
      </c>
      <c r="C126" s="25" t="s">
        <v>140</v>
      </c>
      <c r="D126" s="27" t="n">
        <v>30.64</v>
      </c>
      <c r="E126" s="27"/>
      <c r="F126" s="27" t="n">
        <f aca="false">F125-N(D126)+N(E126)</f>
        <v>2285.07</v>
      </c>
      <c r="G126" s="25" t="str">
        <f aca="false">IFERROR(LOOKUP(2^15,SEARCH('Category Rules'!$A$5:$A$23,C126),'Category Rules'!$B$5:$B$23),"Uncategorised")</f>
        <v>Stock and supplies</v>
      </c>
      <c r="H126" s="25" t="str">
        <f aca="false">TEXT(B126,"mmm yyyy")</f>
        <v>Aug 2022</v>
      </c>
    </row>
    <row r="127" customFormat="false" ht="15" hidden="false" customHeight="false" outlineLevel="0" collapsed="false">
      <c r="A127" s="25" t="str">
        <f aca="false">INDEX(Reconciliation!$A$6:$A$10,MATCH(B127,Reconciliation!$B$6:$B$10,1))</f>
        <v>P3</v>
      </c>
      <c r="B127" s="26" t="n">
        <v>44795</v>
      </c>
      <c r="C127" s="25" t="s">
        <v>62</v>
      </c>
      <c r="D127" s="27"/>
      <c r="E127" s="27" t="n">
        <v>408</v>
      </c>
      <c r="F127" s="27" t="n">
        <f aca="false">F126-N(D127)+N(E127)</f>
        <v>2693.07</v>
      </c>
      <c r="G127" s="25" t="str">
        <f aca="false">IFERROR(LOOKUP(2^15,SEARCH('Category Rules'!$A$5:$A$23,C127),'Category Rules'!$B$5:$B$23),"Uncategorised")</f>
        <v>Income: client receipts</v>
      </c>
      <c r="H127" s="25" t="str">
        <f aca="false">TEXT(B127,"mmm yyyy")</f>
        <v>Aug 2022</v>
      </c>
    </row>
    <row r="128" customFormat="false" ht="15" hidden="false" customHeight="false" outlineLevel="0" collapsed="false">
      <c r="A128" s="25" t="str">
        <f aca="false">INDEX(Reconciliation!$A$6:$A$10,MATCH(B128,Reconciliation!$B$6:$B$10,1))</f>
        <v>P4</v>
      </c>
      <c r="B128" s="26" t="n">
        <v>44796</v>
      </c>
      <c r="C128" s="25" t="s">
        <v>141</v>
      </c>
      <c r="D128" s="27" t="n">
        <v>76.87</v>
      </c>
      <c r="E128" s="27"/>
      <c r="F128" s="27" t="n">
        <f aca="false">F127-N(D128)+N(E128)</f>
        <v>2616.2</v>
      </c>
      <c r="G128" s="25" t="str">
        <f aca="false">IFERROR(LOOKUP(2^15,SEARCH('Category Rules'!$A$5:$A$23,C128),'Category Rules'!$B$5:$B$23),"Uncategorised")</f>
        <v>Fuel and vehicle</v>
      </c>
      <c r="H128" s="25" t="str">
        <f aca="false">TEXT(B128,"mmm yyyy")</f>
        <v>Aug 2022</v>
      </c>
    </row>
    <row r="129" customFormat="false" ht="15" hidden="false" customHeight="false" outlineLevel="0" collapsed="false">
      <c r="A129" s="25" t="str">
        <f aca="false">INDEX(Reconciliation!$A$6:$A$10,MATCH(B129,Reconciliation!$B$6:$B$10,1))</f>
        <v>P4</v>
      </c>
      <c r="B129" s="26" t="n">
        <v>44796</v>
      </c>
      <c r="C129" s="25" t="s">
        <v>64</v>
      </c>
      <c r="D129" s="27" t="n">
        <v>200</v>
      </c>
      <c r="E129" s="27"/>
      <c r="F129" s="27" t="n">
        <f aca="false">F128-N(D129)+N(E129)</f>
        <v>2416.2</v>
      </c>
      <c r="G129" s="25" t="str">
        <f aca="false">IFERROR(LOOKUP(2^15,SEARCH('Category Rules'!$A$5:$A$23,C129),'Category Rules'!$B$5:$B$23),"Uncategorised")</f>
        <v>Transfers out</v>
      </c>
      <c r="H129" s="25" t="str">
        <f aca="false">TEXT(B129,"mmm yyyy")</f>
        <v>Aug 2022</v>
      </c>
    </row>
    <row r="130" customFormat="false" ht="15" hidden="false" customHeight="false" outlineLevel="0" collapsed="false">
      <c r="A130" s="25" t="str">
        <f aca="false">INDEX(Reconciliation!$A$6:$A$10,MATCH(B130,Reconciliation!$B$6:$B$10,1))</f>
        <v>P4</v>
      </c>
      <c r="B130" s="26" t="n">
        <v>44797</v>
      </c>
      <c r="C130" s="25" t="s">
        <v>62</v>
      </c>
      <c r="D130" s="27"/>
      <c r="E130" s="27" t="n">
        <v>341.97</v>
      </c>
      <c r="F130" s="27" t="n">
        <f aca="false">F129-N(D130)+N(E130)</f>
        <v>2758.17</v>
      </c>
      <c r="G130" s="25" t="str">
        <f aca="false">IFERROR(LOOKUP(2^15,SEARCH('Category Rules'!$A$5:$A$23,C130),'Category Rules'!$B$5:$B$23),"Uncategorised")</f>
        <v>Income: client receipts</v>
      </c>
      <c r="H130" s="25" t="str">
        <f aca="false">TEXT(B130,"mmm yyyy")</f>
        <v>Aug 2022</v>
      </c>
    </row>
    <row r="131" customFormat="false" ht="15" hidden="false" customHeight="false" outlineLevel="0" collapsed="false">
      <c r="A131" s="25" t="str">
        <f aca="false">INDEX(Reconciliation!$A$6:$A$10,MATCH(B131,Reconciliation!$B$6:$B$10,1))</f>
        <v>P4</v>
      </c>
      <c r="B131" s="26" t="n">
        <v>44797</v>
      </c>
      <c r="C131" s="25" t="s">
        <v>142</v>
      </c>
      <c r="D131" s="27" t="n">
        <v>20.8</v>
      </c>
      <c r="E131" s="27"/>
      <c r="F131" s="27" t="n">
        <f aca="false">F130-N(D131)+N(E131)</f>
        <v>2737.37</v>
      </c>
      <c r="G131" s="25" t="str">
        <f aca="false">IFERROR(LOOKUP(2^15,SEARCH('Category Rules'!$A$5:$A$23,C131),'Category Rules'!$B$5:$B$23),"Uncategorised")</f>
        <v>Stock and supplies</v>
      </c>
      <c r="H131" s="25" t="str">
        <f aca="false">TEXT(B131,"mmm yyyy")</f>
        <v>Aug 2022</v>
      </c>
    </row>
    <row r="132" customFormat="false" ht="15" hidden="false" customHeight="false" outlineLevel="0" collapsed="false">
      <c r="A132" s="25" t="str">
        <f aca="false">INDEX(Reconciliation!$A$6:$A$10,MATCH(B132,Reconciliation!$B$6:$B$10,1))</f>
        <v>P4</v>
      </c>
      <c r="B132" s="26" t="n">
        <v>44799</v>
      </c>
      <c r="C132" s="25" t="s">
        <v>143</v>
      </c>
      <c r="D132" s="27" t="n">
        <v>8.23</v>
      </c>
      <c r="E132" s="27"/>
      <c r="F132" s="27" t="n">
        <f aca="false">F131-N(D132)+N(E132)</f>
        <v>2729.14</v>
      </c>
      <c r="G132" s="25" t="str">
        <f aca="false">IFERROR(LOOKUP(2^15,SEARCH('Category Rules'!$A$5:$A$23,C132),'Category Rules'!$B$5:$B$23),"Uncategorised")</f>
        <v>Meals and subsistence</v>
      </c>
      <c r="H132" s="25" t="str">
        <f aca="false">TEXT(B132,"mmm yyyy")</f>
        <v>Aug 2022</v>
      </c>
    </row>
    <row r="133" customFormat="false" ht="15" hidden="false" customHeight="false" outlineLevel="0" collapsed="false">
      <c r="A133" s="25" t="str">
        <f aca="false">INDEX(Reconciliation!$A$6:$A$10,MATCH(B133,Reconciliation!$B$6:$B$10,1))</f>
        <v>P4</v>
      </c>
      <c r="B133" s="26" t="n">
        <v>44799</v>
      </c>
      <c r="C133" s="25" t="s">
        <v>144</v>
      </c>
      <c r="D133" s="27" t="n">
        <v>28.19</v>
      </c>
      <c r="E133" s="27"/>
      <c r="F133" s="27" t="n">
        <f aca="false">F132-N(D133)+N(E133)</f>
        <v>2700.95</v>
      </c>
      <c r="G133" s="25" t="str">
        <f aca="false">IFERROR(LOOKUP(2^15,SEARCH('Category Rules'!$A$5:$A$23,C133),'Category Rules'!$B$5:$B$23),"Uncategorised")</f>
        <v>Stock and supplies</v>
      </c>
      <c r="H133" s="25" t="str">
        <f aca="false">TEXT(B133,"mmm yyyy")</f>
        <v>Aug 2022</v>
      </c>
    </row>
    <row r="134" customFormat="false" ht="15" hidden="false" customHeight="false" outlineLevel="0" collapsed="false">
      <c r="A134" s="25" t="str">
        <f aca="false">INDEX(Reconciliation!$A$6:$A$10,MATCH(B134,Reconciliation!$B$6:$B$10,1))</f>
        <v>P4</v>
      </c>
      <c r="B134" s="26" t="n">
        <v>44799</v>
      </c>
      <c r="C134" s="25" t="s">
        <v>145</v>
      </c>
      <c r="D134" s="27" t="n">
        <v>53.08</v>
      </c>
      <c r="E134" s="27"/>
      <c r="F134" s="27" t="n">
        <f aca="false">F133-N(D134)+N(E134)</f>
        <v>2647.87</v>
      </c>
      <c r="G134" s="25" t="str">
        <f aca="false">IFERROR(LOOKUP(2^15,SEARCH('Category Rules'!$A$5:$A$23,C134),'Category Rules'!$B$5:$B$23),"Uncategorised")</f>
        <v>Fuel and vehicle</v>
      </c>
      <c r="H134" s="25" t="str">
        <f aca="false">TEXT(B134,"mmm yyyy")</f>
        <v>Aug 2022</v>
      </c>
    </row>
    <row r="135" customFormat="false" ht="15" hidden="false" customHeight="false" outlineLevel="0" collapsed="false">
      <c r="A135" s="25" t="str">
        <f aca="false">INDEX(Reconciliation!$A$6:$A$10,MATCH(B135,Reconciliation!$B$6:$B$10,1))</f>
        <v>P4</v>
      </c>
      <c r="B135" s="26" t="n">
        <v>44800</v>
      </c>
      <c r="C135" s="25" t="s">
        <v>64</v>
      </c>
      <c r="D135" s="27" t="n">
        <v>150</v>
      </c>
      <c r="E135" s="27"/>
      <c r="F135" s="27" t="n">
        <f aca="false">F134-N(D135)+N(E135)</f>
        <v>2497.87</v>
      </c>
      <c r="G135" s="25" t="str">
        <f aca="false">IFERROR(LOOKUP(2^15,SEARCH('Category Rules'!$A$5:$A$23,C135),'Category Rules'!$B$5:$B$23),"Uncategorised")</f>
        <v>Transfers out</v>
      </c>
      <c r="H135" s="25" t="str">
        <f aca="false">TEXT(B135,"mmm yyyy")</f>
        <v>Aug 2022</v>
      </c>
    </row>
    <row r="136" customFormat="false" ht="15" hidden="false" customHeight="false" outlineLevel="0" collapsed="false">
      <c r="A136" s="25" t="str">
        <f aca="false">INDEX(Reconciliation!$A$6:$A$10,MATCH(B136,Reconciliation!$B$6:$B$10,1))</f>
        <v>P4</v>
      </c>
      <c r="B136" s="26" t="n">
        <v>44801</v>
      </c>
      <c r="C136" s="25" t="s">
        <v>62</v>
      </c>
      <c r="D136" s="27"/>
      <c r="E136" s="27" t="n">
        <v>241.1</v>
      </c>
      <c r="F136" s="27" t="n">
        <f aca="false">F135-N(D136)+N(E136)</f>
        <v>2738.97</v>
      </c>
      <c r="G136" s="25" t="str">
        <f aca="false">IFERROR(LOOKUP(2^15,SEARCH('Category Rules'!$A$5:$A$23,C136),'Category Rules'!$B$5:$B$23),"Uncategorised")</f>
        <v>Income: client receipts</v>
      </c>
      <c r="H136" s="25" t="str">
        <f aca="false">TEXT(B136,"mmm yyyy")</f>
        <v>Aug 2022</v>
      </c>
    </row>
    <row r="137" customFormat="false" ht="15" hidden="false" customHeight="false" outlineLevel="0" collapsed="false">
      <c r="A137" s="25" t="str">
        <f aca="false">INDEX(Reconciliation!$A$6:$A$10,MATCH(B137,Reconciliation!$B$6:$B$10,1))</f>
        <v>P4</v>
      </c>
      <c r="B137" s="26" t="n">
        <v>44803</v>
      </c>
      <c r="C137" s="25" t="s">
        <v>146</v>
      </c>
      <c r="D137" s="27" t="n">
        <v>9.76</v>
      </c>
      <c r="E137" s="27"/>
      <c r="F137" s="27" t="n">
        <f aca="false">F136-N(D137)+N(E137)</f>
        <v>2729.21</v>
      </c>
      <c r="G137" s="25" t="str">
        <f aca="false">IFERROR(LOOKUP(2^15,SEARCH('Category Rules'!$A$5:$A$23,C137),'Category Rules'!$B$5:$B$23),"Uncategorised")</f>
        <v>Meals and subsistence</v>
      </c>
      <c r="H137" s="25" t="str">
        <f aca="false">TEXT(B137,"mmm yyyy")</f>
        <v>Aug 2022</v>
      </c>
    </row>
    <row r="138" customFormat="false" ht="15" hidden="false" customHeight="false" outlineLevel="0" collapsed="false">
      <c r="A138" s="25" t="str">
        <f aca="false">INDEX(Reconciliation!$A$6:$A$10,MATCH(B138,Reconciliation!$B$6:$B$10,1))</f>
        <v>P4</v>
      </c>
      <c r="B138" s="26" t="n">
        <v>44803</v>
      </c>
      <c r="C138" s="25" t="s">
        <v>62</v>
      </c>
      <c r="D138" s="27"/>
      <c r="E138" s="27" t="n">
        <v>266.15</v>
      </c>
      <c r="F138" s="27" t="n">
        <f aca="false">F137-N(D138)+N(E138)</f>
        <v>2995.36</v>
      </c>
      <c r="G138" s="25" t="str">
        <f aca="false">IFERROR(LOOKUP(2^15,SEARCH('Category Rules'!$A$5:$A$23,C138),'Category Rules'!$B$5:$B$23),"Uncategorised")</f>
        <v>Income: client receipts</v>
      </c>
      <c r="H138" s="25" t="str">
        <f aca="false">TEXT(B138,"mmm yyyy")</f>
        <v>Aug 2022</v>
      </c>
    </row>
    <row r="139" customFormat="false" ht="15" hidden="false" customHeight="false" outlineLevel="0" collapsed="false">
      <c r="A139" s="25" t="str">
        <f aca="false">INDEX(Reconciliation!$A$6:$A$10,MATCH(B139,Reconciliation!$B$6:$B$10,1))</f>
        <v>P4</v>
      </c>
      <c r="B139" s="26" t="n">
        <v>44803</v>
      </c>
      <c r="C139" s="25" t="s">
        <v>147</v>
      </c>
      <c r="D139" s="27" t="n">
        <v>5.63</v>
      </c>
      <c r="E139" s="27"/>
      <c r="F139" s="27" t="n">
        <f aca="false">F138-N(D139)+N(E139)</f>
        <v>2989.73</v>
      </c>
      <c r="G139" s="25" t="str">
        <f aca="false">IFERROR(LOOKUP(2^15,SEARCH('Category Rules'!$A$5:$A$23,C139),'Category Rules'!$B$5:$B$23),"Uncategorised")</f>
        <v>Meals and subsistence</v>
      </c>
      <c r="H139" s="25" t="str">
        <f aca="false">TEXT(B139,"mmm yyyy")</f>
        <v>Aug 2022</v>
      </c>
    </row>
    <row r="140" customFormat="false" ht="15" hidden="false" customHeight="false" outlineLevel="0" collapsed="false">
      <c r="A140" s="25" t="str">
        <f aca="false">INDEX(Reconciliation!$A$6:$A$10,MATCH(B140,Reconciliation!$B$6:$B$10,1))</f>
        <v>P4</v>
      </c>
      <c r="B140" s="26" t="n">
        <v>44804</v>
      </c>
      <c r="C140" s="25" t="s">
        <v>67</v>
      </c>
      <c r="D140" s="27"/>
      <c r="E140" s="27" t="n">
        <v>25</v>
      </c>
      <c r="F140" s="27" t="n">
        <f aca="false">F139-N(D140)+N(E140)</f>
        <v>3014.73</v>
      </c>
      <c r="G140" s="25" t="str">
        <f aca="false">IFERROR(LOOKUP(2^15,SEARCH('Category Rules'!$A$5:$A$23,C140),'Category Rules'!$B$5:$B$23),"Uncategorised")</f>
        <v>Income: transfers in</v>
      </c>
      <c r="H140" s="25" t="str">
        <f aca="false">TEXT(B140,"mmm yyyy")</f>
        <v>Aug 2022</v>
      </c>
    </row>
    <row r="141" customFormat="false" ht="15" hidden="false" customHeight="false" outlineLevel="0" collapsed="false">
      <c r="A141" s="25" t="str">
        <f aca="false">INDEX(Reconciliation!$A$6:$A$10,MATCH(B141,Reconciliation!$B$6:$B$10,1))</f>
        <v>P4</v>
      </c>
      <c r="B141" s="26" t="n">
        <v>44804</v>
      </c>
      <c r="C141" s="25" t="s">
        <v>146</v>
      </c>
      <c r="D141" s="27" t="n">
        <v>1.69</v>
      </c>
      <c r="E141" s="27"/>
      <c r="F141" s="27" t="n">
        <f aca="false">F140-N(D141)+N(E141)</f>
        <v>3013.04</v>
      </c>
      <c r="G141" s="25" t="str">
        <f aca="false">IFERROR(LOOKUP(2^15,SEARCH('Category Rules'!$A$5:$A$23,C141),'Category Rules'!$B$5:$B$23),"Uncategorised")</f>
        <v>Meals and subsistence</v>
      </c>
      <c r="H141" s="25" t="str">
        <f aca="false">TEXT(B141,"mmm yyyy")</f>
        <v>Aug 2022</v>
      </c>
    </row>
    <row r="142" customFormat="false" ht="15" hidden="false" customHeight="false" outlineLevel="0" collapsed="false">
      <c r="A142" s="25" t="str">
        <f aca="false">INDEX(Reconciliation!$A$6:$A$10,MATCH(B142,Reconciliation!$B$6:$B$10,1))</f>
        <v>P4</v>
      </c>
      <c r="B142" s="26" t="n">
        <v>44805</v>
      </c>
      <c r="C142" s="25" t="s">
        <v>71</v>
      </c>
      <c r="D142" s="27" t="n">
        <v>8.2</v>
      </c>
      <c r="E142" s="27"/>
      <c r="F142" s="27" t="n">
        <f aca="false">F141-N(D142)+N(E142)</f>
        <v>3004.84</v>
      </c>
      <c r="G142" s="25" t="str">
        <f aca="false">IFERROR(LOOKUP(2^15,SEARCH('Category Rules'!$A$5:$A$23,C142),'Category Rules'!$B$5:$B$23),"Uncategorised")</f>
        <v>Subscriptions and utilities</v>
      </c>
      <c r="H142" s="25" t="str">
        <f aca="false">TEXT(B142,"mmm yyyy")</f>
        <v>Sep 2022</v>
      </c>
    </row>
    <row r="143" customFormat="false" ht="15" hidden="false" customHeight="false" outlineLevel="0" collapsed="false">
      <c r="A143" s="25" t="str">
        <f aca="false">INDEX(Reconciliation!$A$6:$A$10,MATCH(B143,Reconciliation!$B$6:$B$10,1))</f>
        <v>P4</v>
      </c>
      <c r="B143" s="26" t="n">
        <v>44806</v>
      </c>
      <c r="C143" s="25" t="s">
        <v>64</v>
      </c>
      <c r="D143" s="27" t="n">
        <v>1000</v>
      </c>
      <c r="E143" s="27"/>
      <c r="F143" s="27" t="n">
        <f aca="false">F142-N(D143)+N(E143)</f>
        <v>2004.84</v>
      </c>
      <c r="G143" s="25" t="str">
        <f aca="false">IFERROR(LOOKUP(2^15,SEARCH('Category Rules'!$A$5:$A$23,C143),'Category Rules'!$B$5:$B$23),"Uncategorised")</f>
        <v>Transfers out</v>
      </c>
      <c r="H143" s="25" t="str">
        <f aca="false">TEXT(B143,"mmm yyyy")</f>
        <v>Sep 2022</v>
      </c>
    </row>
    <row r="144" customFormat="false" ht="15" hidden="false" customHeight="false" outlineLevel="0" collapsed="false">
      <c r="A144" s="25" t="str">
        <f aca="false">INDEX(Reconciliation!$A$6:$A$10,MATCH(B144,Reconciliation!$B$6:$B$10,1))</f>
        <v>P4</v>
      </c>
      <c r="B144" s="26" t="n">
        <v>44807</v>
      </c>
      <c r="C144" s="25" t="s">
        <v>62</v>
      </c>
      <c r="D144" s="27"/>
      <c r="E144" s="27" t="n">
        <v>435.21</v>
      </c>
      <c r="F144" s="27" t="n">
        <f aca="false">F143-N(D144)+N(E144)</f>
        <v>2440.05</v>
      </c>
      <c r="G144" s="25" t="str">
        <f aca="false">IFERROR(LOOKUP(2^15,SEARCH('Category Rules'!$A$5:$A$23,C144),'Category Rules'!$B$5:$B$23),"Uncategorised")</f>
        <v>Income: client receipts</v>
      </c>
      <c r="H144" s="25" t="str">
        <f aca="false">TEXT(B144,"mmm yyyy")</f>
        <v>Sep 2022</v>
      </c>
    </row>
    <row r="145" customFormat="false" ht="15" hidden="false" customHeight="false" outlineLevel="0" collapsed="false">
      <c r="A145" s="25" t="str">
        <f aca="false">INDEX(Reconciliation!$A$6:$A$10,MATCH(B145,Reconciliation!$B$6:$B$10,1))</f>
        <v>P4</v>
      </c>
      <c r="B145" s="26" t="n">
        <v>44807</v>
      </c>
      <c r="C145" s="25" t="s">
        <v>148</v>
      </c>
      <c r="D145" s="27" t="n">
        <v>4.77</v>
      </c>
      <c r="E145" s="27"/>
      <c r="F145" s="27" t="n">
        <f aca="false">F144-N(D145)+N(E145)</f>
        <v>2435.28</v>
      </c>
      <c r="G145" s="25" t="str">
        <f aca="false">IFERROR(LOOKUP(2^15,SEARCH('Category Rules'!$A$5:$A$23,C145),'Category Rules'!$B$5:$B$23),"Uncategorised")</f>
        <v>Parking</v>
      </c>
      <c r="H145" s="25" t="str">
        <f aca="false">TEXT(B145,"mmm yyyy")</f>
        <v>Sep 2022</v>
      </c>
    </row>
    <row r="146" customFormat="false" ht="15" hidden="false" customHeight="false" outlineLevel="0" collapsed="false">
      <c r="A146" s="25" t="str">
        <f aca="false">INDEX(Reconciliation!$A$6:$A$10,MATCH(B146,Reconciliation!$B$6:$B$10,1))</f>
        <v>P4</v>
      </c>
      <c r="B146" s="26" t="n">
        <v>44807</v>
      </c>
      <c r="C146" s="25" t="s">
        <v>62</v>
      </c>
      <c r="D146" s="27"/>
      <c r="E146" s="27" t="n">
        <v>496.95</v>
      </c>
      <c r="F146" s="27" t="n">
        <f aca="false">F145-N(D146)+N(E146)</f>
        <v>2932.23</v>
      </c>
      <c r="G146" s="25" t="str">
        <f aca="false">IFERROR(LOOKUP(2^15,SEARCH('Category Rules'!$A$5:$A$23,C146),'Category Rules'!$B$5:$B$23),"Uncategorised")</f>
        <v>Income: client receipts</v>
      </c>
      <c r="H146" s="25" t="str">
        <f aca="false">TEXT(B146,"mmm yyyy")</f>
        <v>Sep 2022</v>
      </c>
    </row>
    <row r="147" customFormat="false" ht="15" hidden="false" customHeight="false" outlineLevel="0" collapsed="false">
      <c r="A147" s="25" t="str">
        <f aca="false">INDEX(Reconciliation!$A$6:$A$10,MATCH(B147,Reconciliation!$B$6:$B$10,1))</f>
        <v>P4</v>
      </c>
      <c r="B147" s="26" t="n">
        <v>44808</v>
      </c>
      <c r="C147" s="25" t="s">
        <v>67</v>
      </c>
      <c r="D147" s="27"/>
      <c r="E147" s="27" t="n">
        <v>50</v>
      </c>
      <c r="F147" s="27" t="n">
        <f aca="false">F146-N(D147)+N(E147)</f>
        <v>2982.23</v>
      </c>
      <c r="G147" s="25" t="str">
        <f aca="false">IFERROR(LOOKUP(2^15,SEARCH('Category Rules'!$A$5:$A$23,C147),'Category Rules'!$B$5:$B$23),"Uncategorised")</f>
        <v>Income: transfers in</v>
      </c>
      <c r="H147" s="25" t="str">
        <f aca="false">TEXT(B147,"mmm yyyy")</f>
        <v>Sep 2022</v>
      </c>
    </row>
    <row r="148" customFormat="false" ht="15" hidden="false" customHeight="false" outlineLevel="0" collapsed="false">
      <c r="A148" s="25" t="str">
        <f aca="false">INDEX(Reconciliation!$A$6:$A$10,MATCH(B148,Reconciliation!$B$6:$B$10,1))</f>
        <v>P4</v>
      </c>
      <c r="B148" s="26" t="n">
        <v>44808</v>
      </c>
      <c r="C148" s="25" t="s">
        <v>62</v>
      </c>
      <c r="D148" s="27"/>
      <c r="E148" s="27" t="n">
        <v>420.16</v>
      </c>
      <c r="F148" s="27" t="n">
        <f aca="false">F147-N(D148)+N(E148)</f>
        <v>3402.39</v>
      </c>
      <c r="G148" s="25" t="str">
        <f aca="false">IFERROR(LOOKUP(2^15,SEARCH('Category Rules'!$A$5:$A$23,C148),'Category Rules'!$B$5:$B$23),"Uncategorised")</f>
        <v>Income: client receipts</v>
      </c>
      <c r="H148" s="25" t="str">
        <f aca="false">TEXT(B148,"mmm yyyy")</f>
        <v>Sep 2022</v>
      </c>
    </row>
    <row r="149" customFormat="false" ht="15" hidden="false" customHeight="false" outlineLevel="0" collapsed="false">
      <c r="A149" s="25" t="str">
        <f aca="false">INDEX(Reconciliation!$A$6:$A$10,MATCH(B149,Reconciliation!$B$6:$B$10,1))</f>
        <v>P4</v>
      </c>
      <c r="B149" s="26" t="n">
        <v>44810</v>
      </c>
      <c r="C149" s="25" t="s">
        <v>149</v>
      </c>
      <c r="D149" s="27" t="n">
        <v>11.28</v>
      </c>
      <c r="E149" s="27"/>
      <c r="F149" s="27" t="n">
        <f aca="false">F148-N(D149)+N(E149)</f>
        <v>3391.11</v>
      </c>
      <c r="G149" s="25" t="str">
        <f aca="false">IFERROR(LOOKUP(2^15,SEARCH('Category Rules'!$A$5:$A$23,C149),'Category Rules'!$B$5:$B$23),"Uncategorised")</f>
        <v>Meals and subsistence</v>
      </c>
      <c r="H149" s="25" t="str">
        <f aca="false">TEXT(B149,"mmm yyyy")</f>
        <v>Sep 2022</v>
      </c>
    </row>
    <row r="150" customFormat="false" ht="15" hidden="false" customHeight="false" outlineLevel="0" collapsed="false">
      <c r="A150" s="25" t="str">
        <f aca="false">INDEX(Reconciliation!$A$6:$A$10,MATCH(B150,Reconciliation!$B$6:$B$10,1))</f>
        <v>P4</v>
      </c>
      <c r="B150" s="26" t="n">
        <v>44811</v>
      </c>
      <c r="C150" s="25" t="s">
        <v>80</v>
      </c>
      <c r="D150" s="27" t="n">
        <v>8.5</v>
      </c>
      <c r="E150" s="27"/>
      <c r="F150" s="27" t="n">
        <f aca="false">F149-N(D150)+N(E150)</f>
        <v>3382.61</v>
      </c>
      <c r="G150" s="25" t="str">
        <f aca="false">IFERROR(LOOKUP(2^15,SEARCH('Category Rules'!$A$5:$A$23,C150),'Category Rules'!$B$5:$B$23),"Uncategorised")</f>
        <v>Bank charges</v>
      </c>
      <c r="H150" s="25" t="str">
        <f aca="false">TEXT(B150,"mmm yyyy")</f>
        <v>Sep 2022</v>
      </c>
    </row>
    <row r="151" customFormat="false" ht="15" hidden="false" customHeight="false" outlineLevel="0" collapsed="false">
      <c r="A151" s="25" t="str">
        <f aca="false">INDEX(Reconciliation!$A$6:$A$10,MATCH(B151,Reconciliation!$B$6:$B$10,1))</f>
        <v>P4</v>
      </c>
      <c r="B151" s="26" t="n">
        <v>44812</v>
      </c>
      <c r="C151" s="25" t="s">
        <v>150</v>
      </c>
      <c r="D151" s="27" t="n">
        <v>124.58</v>
      </c>
      <c r="E151" s="27"/>
      <c r="F151" s="27" t="n">
        <f aca="false">F150-N(D151)+N(E151)</f>
        <v>3258.03</v>
      </c>
      <c r="G151" s="25" t="str">
        <f aca="false">IFERROR(LOOKUP(2^15,SEARCH('Category Rules'!$A$5:$A$23,C151),'Category Rules'!$B$5:$B$23),"Uncategorised")</f>
        <v>Cash withdrawals</v>
      </c>
      <c r="H151" s="25" t="str">
        <f aca="false">TEXT(B151,"mmm yyyy")</f>
        <v>Sep 2022</v>
      </c>
    </row>
    <row r="152" customFormat="false" ht="15" hidden="false" customHeight="false" outlineLevel="0" collapsed="false">
      <c r="A152" s="25" t="str">
        <f aca="false">INDEX(Reconciliation!$A$6:$A$10,MATCH(B152,Reconciliation!$B$6:$B$10,1))</f>
        <v>P4</v>
      </c>
      <c r="B152" s="26" t="n">
        <v>44813</v>
      </c>
      <c r="C152" s="25" t="s">
        <v>151</v>
      </c>
      <c r="D152" s="27" t="n">
        <v>56.42</v>
      </c>
      <c r="E152" s="27"/>
      <c r="F152" s="27" t="n">
        <f aca="false">F151-N(D152)+N(E152)</f>
        <v>3201.61</v>
      </c>
      <c r="G152" s="25" t="str">
        <f aca="false">IFERROR(LOOKUP(2^15,SEARCH('Category Rules'!$A$5:$A$23,C152),'Category Rules'!$B$5:$B$23),"Uncategorised")</f>
        <v>Stock and supplies</v>
      </c>
      <c r="H152" s="25" t="str">
        <f aca="false">TEXT(B152,"mmm yyyy")</f>
        <v>Sep 2022</v>
      </c>
    </row>
    <row r="153" customFormat="false" ht="15" hidden="false" customHeight="false" outlineLevel="0" collapsed="false">
      <c r="A153" s="25" t="str">
        <f aca="false">INDEX(Reconciliation!$A$6:$A$10,MATCH(B153,Reconciliation!$B$6:$B$10,1))</f>
        <v>P4</v>
      </c>
      <c r="B153" s="26" t="n">
        <v>44814</v>
      </c>
      <c r="C153" s="25" t="s">
        <v>152</v>
      </c>
      <c r="D153" s="27" t="n">
        <v>93.93</v>
      </c>
      <c r="E153" s="27"/>
      <c r="F153" s="27" t="n">
        <f aca="false">F152-N(D153)+N(E153)</f>
        <v>3107.68</v>
      </c>
      <c r="G153" s="25" t="str">
        <f aca="false">IFERROR(LOOKUP(2^15,SEARCH('Category Rules'!$A$5:$A$23,C153),'Category Rules'!$B$5:$B$23),"Uncategorised")</f>
        <v>Fuel and vehicle</v>
      </c>
      <c r="H153" s="25" t="str">
        <f aca="false">TEXT(B153,"mmm yyyy")</f>
        <v>Sep 2022</v>
      </c>
    </row>
    <row r="154" customFormat="false" ht="15" hidden="false" customHeight="false" outlineLevel="0" collapsed="false">
      <c r="A154" s="25" t="str">
        <f aca="false">INDEX(Reconciliation!$A$6:$A$10,MATCH(B154,Reconciliation!$B$6:$B$10,1))</f>
        <v>P4</v>
      </c>
      <c r="B154" s="26" t="n">
        <v>44815</v>
      </c>
      <c r="C154" s="25" t="s">
        <v>153</v>
      </c>
      <c r="D154" s="27" t="n">
        <v>19.42</v>
      </c>
      <c r="E154" s="27"/>
      <c r="F154" s="27" t="n">
        <f aca="false">F153-N(D154)+N(E154)</f>
        <v>3088.26</v>
      </c>
      <c r="G154" s="25" t="str">
        <f aca="false">IFERROR(LOOKUP(2^15,SEARCH('Category Rules'!$A$5:$A$23,C154),'Category Rules'!$B$5:$B$23),"Uncategorised")</f>
        <v>Stock and supplies</v>
      </c>
      <c r="H154" s="25" t="str">
        <f aca="false">TEXT(B154,"mmm yyyy")</f>
        <v>Sep 2022</v>
      </c>
    </row>
    <row r="155" customFormat="false" ht="15" hidden="false" customHeight="false" outlineLevel="0" collapsed="false">
      <c r="A155" s="25" t="str">
        <f aca="false">INDEX(Reconciliation!$A$6:$A$10,MATCH(B155,Reconciliation!$B$6:$B$10,1))</f>
        <v>P4</v>
      </c>
      <c r="B155" s="26" t="n">
        <v>44816</v>
      </c>
      <c r="C155" s="25" t="s">
        <v>108</v>
      </c>
      <c r="D155" s="27" t="n">
        <v>200</v>
      </c>
      <c r="E155" s="27"/>
      <c r="F155" s="27" t="n">
        <f aca="false">F154-N(D155)+N(E155)</f>
        <v>2888.26</v>
      </c>
      <c r="G155" s="25" t="str">
        <f aca="false">IFERROR(LOOKUP(2^15,SEARCH('Category Rules'!$A$5:$A$23,C155),'Category Rules'!$B$5:$B$23),"Uncategorised")</f>
        <v>Supplier payments</v>
      </c>
      <c r="H155" s="25" t="str">
        <f aca="false">TEXT(B155,"mmm yyyy")</f>
        <v>Sep 2022</v>
      </c>
    </row>
    <row r="156" customFormat="false" ht="15" hidden="false" customHeight="false" outlineLevel="0" collapsed="false">
      <c r="A156" s="25" t="str">
        <f aca="false">INDEX(Reconciliation!$A$6:$A$10,MATCH(B156,Reconciliation!$B$6:$B$10,1))</f>
        <v>P4</v>
      </c>
      <c r="B156" s="26" t="n">
        <v>44818</v>
      </c>
      <c r="C156" s="25" t="s">
        <v>64</v>
      </c>
      <c r="D156" s="27" t="n">
        <v>200</v>
      </c>
      <c r="E156" s="27"/>
      <c r="F156" s="27" t="n">
        <f aca="false">F155-N(D156)+N(E156)</f>
        <v>2688.26</v>
      </c>
      <c r="G156" s="25" t="str">
        <f aca="false">IFERROR(LOOKUP(2^15,SEARCH('Category Rules'!$A$5:$A$23,C156),'Category Rules'!$B$5:$B$23),"Uncategorised")</f>
        <v>Transfers out</v>
      </c>
      <c r="H156" s="25" t="str">
        <f aca="false">TEXT(B156,"mmm yyyy")</f>
        <v>Sep 2022</v>
      </c>
    </row>
    <row r="157" customFormat="false" ht="15" hidden="false" customHeight="false" outlineLevel="0" collapsed="false">
      <c r="A157" s="25" t="str">
        <f aca="false">INDEX(Reconciliation!$A$6:$A$10,MATCH(B157,Reconciliation!$B$6:$B$10,1))</f>
        <v>P4</v>
      </c>
      <c r="B157" s="26" t="n">
        <v>44820</v>
      </c>
      <c r="C157" s="25" t="s">
        <v>64</v>
      </c>
      <c r="D157" s="27" t="n">
        <v>400</v>
      </c>
      <c r="E157" s="27"/>
      <c r="F157" s="27" t="n">
        <f aca="false">F156-N(D157)+N(E157)</f>
        <v>2288.26</v>
      </c>
      <c r="G157" s="25" t="str">
        <f aca="false">IFERROR(LOOKUP(2^15,SEARCH('Category Rules'!$A$5:$A$23,C157),'Category Rules'!$B$5:$B$23),"Uncategorised")</f>
        <v>Transfers out</v>
      </c>
      <c r="H157" s="25" t="str">
        <f aca="false">TEXT(B157,"mmm yyyy")</f>
        <v>Sep 2022</v>
      </c>
    </row>
    <row r="158" customFormat="false" ht="15" hidden="false" customHeight="false" outlineLevel="0" collapsed="false">
      <c r="A158" s="25" t="str">
        <f aca="false">INDEX(Reconciliation!$A$6:$A$10,MATCH(B158,Reconciliation!$B$6:$B$10,1))</f>
        <v>P4</v>
      </c>
      <c r="B158" s="26" t="n">
        <v>44821</v>
      </c>
      <c r="C158" s="25" t="s">
        <v>154</v>
      </c>
      <c r="D158" s="27" t="n">
        <v>43.62</v>
      </c>
      <c r="E158" s="27"/>
      <c r="F158" s="27" t="n">
        <f aca="false">F157-N(D158)+N(E158)</f>
        <v>2244.64</v>
      </c>
      <c r="G158" s="25" t="str">
        <f aca="false">IFERROR(LOOKUP(2^15,SEARCH('Category Rules'!$A$5:$A$23,C158),'Category Rules'!$B$5:$B$23),"Uncategorised")</f>
        <v>Fuel and vehicle</v>
      </c>
      <c r="H158" s="25" t="str">
        <f aca="false">TEXT(B158,"mmm yyyy")</f>
        <v>Sep 2022</v>
      </c>
    </row>
    <row r="159" customFormat="false" ht="15" hidden="false" customHeight="false" outlineLevel="0" collapsed="false">
      <c r="A159" s="25" t="str">
        <f aca="false">INDEX(Reconciliation!$A$6:$A$10,MATCH(B159,Reconciliation!$B$6:$B$10,1))</f>
        <v>P4</v>
      </c>
      <c r="B159" s="26" t="n">
        <v>44821</v>
      </c>
      <c r="C159" s="25" t="s">
        <v>155</v>
      </c>
      <c r="D159" s="27" t="n">
        <v>15.67</v>
      </c>
      <c r="E159" s="27"/>
      <c r="F159" s="27" t="n">
        <f aca="false">F158-N(D159)+N(E159)</f>
        <v>2228.97</v>
      </c>
      <c r="G159" s="25" t="str">
        <f aca="false">IFERROR(LOOKUP(2^15,SEARCH('Category Rules'!$A$5:$A$23,C159),'Category Rules'!$B$5:$B$23),"Uncategorised")</f>
        <v>Parking</v>
      </c>
      <c r="H159" s="25" t="str">
        <f aca="false">TEXT(B159,"mmm yyyy")</f>
        <v>Sep 2022</v>
      </c>
    </row>
    <row r="160" customFormat="false" ht="15" hidden="false" customHeight="false" outlineLevel="0" collapsed="false">
      <c r="A160" s="25" t="str">
        <f aca="false">INDEX(Reconciliation!$A$6:$A$10,MATCH(B160,Reconciliation!$B$6:$B$10,1))</f>
        <v>P4</v>
      </c>
      <c r="B160" s="26" t="n">
        <v>44822</v>
      </c>
      <c r="C160" s="25" t="s">
        <v>62</v>
      </c>
      <c r="D160" s="27"/>
      <c r="E160" s="27" t="n">
        <v>381.17</v>
      </c>
      <c r="F160" s="27" t="n">
        <f aca="false">F159-N(D160)+N(E160)</f>
        <v>2610.14</v>
      </c>
      <c r="G160" s="25" t="str">
        <f aca="false">IFERROR(LOOKUP(2^15,SEARCH('Category Rules'!$A$5:$A$23,C160),'Category Rules'!$B$5:$B$23),"Uncategorised")</f>
        <v>Income: client receipts</v>
      </c>
      <c r="H160" s="25" t="str">
        <f aca="false">TEXT(B160,"mmm yyyy")</f>
        <v>Sep 2022</v>
      </c>
    </row>
    <row r="161" customFormat="false" ht="15" hidden="false" customHeight="false" outlineLevel="0" collapsed="false">
      <c r="A161" s="25" t="str">
        <f aca="false">INDEX(Reconciliation!$A$6:$A$10,MATCH(B161,Reconciliation!$B$6:$B$10,1))</f>
        <v>P4</v>
      </c>
      <c r="B161" s="26" t="n">
        <v>44822</v>
      </c>
      <c r="C161" s="25" t="s">
        <v>64</v>
      </c>
      <c r="D161" s="27" t="n">
        <v>250</v>
      </c>
      <c r="E161" s="27"/>
      <c r="F161" s="27" t="n">
        <f aca="false">F160-N(D161)+N(E161)</f>
        <v>2360.14</v>
      </c>
      <c r="G161" s="25" t="str">
        <f aca="false">IFERROR(LOOKUP(2^15,SEARCH('Category Rules'!$A$5:$A$23,C161),'Category Rules'!$B$5:$B$23),"Uncategorised")</f>
        <v>Transfers out</v>
      </c>
      <c r="H161" s="25" t="str">
        <f aca="false">TEXT(B161,"mmm yyyy")</f>
        <v>Sep 2022</v>
      </c>
    </row>
    <row r="162" customFormat="false" ht="15" hidden="false" customHeight="false" outlineLevel="0" collapsed="false">
      <c r="A162" s="25" t="str">
        <f aca="false">INDEX(Reconciliation!$A$6:$A$10,MATCH(B162,Reconciliation!$B$6:$B$10,1))</f>
        <v>P4</v>
      </c>
      <c r="B162" s="26" t="n">
        <v>44823</v>
      </c>
      <c r="C162" s="25" t="s">
        <v>156</v>
      </c>
      <c r="D162" s="27" t="n">
        <v>82.76</v>
      </c>
      <c r="E162" s="27"/>
      <c r="F162" s="27" t="n">
        <f aca="false">F161-N(D162)+N(E162)</f>
        <v>2277.38</v>
      </c>
      <c r="G162" s="25" t="str">
        <f aca="false">IFERROR(LOOKUP(2^15,SEARCH('Category Rules'!$A$5:$A$23,C162),'Category Rules'!$B$5:$B$23),"Uncategorised")</f>
        <v>Cash withdrawals</v>
      </c>
      <c r="H162" s="25" t="str">
        <f aca="false">TEXT(B162,"mmm yyyy")</f>
        <v>Sep 2022</v>
      </c>
    </row>
    <row r="163" customFormat="false" ht="15" hidden="false" customHeight="false" outlineLevel="0" collapsed="false">
      <c r="A163" s="25" t="str">
        <f aca="false">INDEX(Reconciliation!$A$6:$A$10,MATCH(B163,Reconciliation!$B$6:$B$10,1))</f>
        <v>P4</v>
      </c>
      <c r="B163" s="26" t="n">
        <v>44823</v>
      </c>
      <c r="C163" s="25" t="s">
        <v>157</v>
      </c>
      <c r="D163" s="27" t="n">
        <v>20.36</v>
      </c>
      <c r="E163" s="27"/>
      <c r="F163" s="27" t="n">
        <f aca="false">F162-N(D163)+N(E163)</f>
        <v>2257.02</v>
      </c>
      <c r="G163" s="25" t="str">
        <f aca="false">IFERROR(LOOKUP(2^15,SEARCH('Category Rules'!$A$5:$A$23,C163),'Category Rules'!$B$5:$B$23),"Uncategorised")</f>
        <v>Office and equipment</v>
      </c>
      <c r="H163" s="25" t="str">
        <f aca="false">TEXT(B163,"mmm yyyy")</f>
        <v>Sep 2022</v>
      </c>
    </row>
    <row r="164" customFormat="false" ht="15" hidden="false" customHeight="false" outlineLevel="0" collapsed="false">
      <c r="A164" s="25" t="str">
        <f aca="false">INDEX(Reconciliation!$A$6:$A$10,MATCH(B164,Reconciliation!$B$6:$B$10,1))</f>
        <v>P4</v>
      </c>
      <c r="B164" s="26" t="n">
        <v>44825</v>
      </c>
      <c r="C164" s="25" t="s">
        <v>67</v>
      </c>
      <c r="D164" s="27"/>
      <c r="E164" s="27" t="n">
        <v>100</v>
      </c>
      <c r="F164" s="27" t="n">
        <f aca="false">F163-N(D164)+N(E164)</f>
        <v>2357.02</v>
      </c>
      <c r="G164" s="25" t="str">
        <f aca="false">IFERROR(LOOKUP(2^15,SEARCH('Category Rules'!$A$5:$A$23,C164),'Category Rules'!$B$5:$B$23),"Uncategorised")</f>
        <v>Income: transfers in</v>
      </c>
      <c r="H164" s="25" t="str">
        <f aca="false">TEXT(B164,"mmm yyyy")</f>
        <v>Sep 2022</v>
      </c>
    </row>
    <row r="165" customFormat="false" ht="15" hidden="false" customHeight="false" outlineLevel="0" collapsed="false">
      <c r="A165" s="25" t="str">
        <f aca="false">INDEX(Reconciliation!$A$6:$A$10,MATCH(B165,Reconciliation!$B$6:$B$10,1))</f>
        <v>P4</v>
      </c>
      <c r="B165" s="26" t="n">
        <v>44826</v>
      </c>
      <c r="C165" s="25" t="s">
        <v>64</v>
      </c>
      <c r="D165" s="27" t="n">
        <v>250</v>
      </c>
      <c r="E165" s="27"/>
      <c r="F165" s="27" t="n">
        <f aca="false">F164-N(D165)+N(E165)</f>
        <v>2107.02</v>
      </c>
      <c r="G165" s="25" t="str">
        <f aca="false">IFERROR(LOOKUP(2^15,SEARCH('Category Rules'!$A$5:$A$23,C165),'Category Rules'!$B$5:$B$23),"Uncategorised")</f>
        <v>Transfers out</v>
      </c>
      <c r="H165" s="25" t="str">
        <f aca="false">TEXT(B165,"mmm yyyy")</f>
        <v>Sep 2022</v>
      </c>
    </row>
    <row r="166" customFormat="false" ht="15" hidden="false" customHeight="false" outlineLevel="0" collapsed="false">
      <c r="A166" s="25" t="str">
        <f aca="false">INDEX(Reconciliation!$A$6:$A$10,MATCH(B166,Reconciliation!$B$6:$B$10,1))</f>
        <v>P4</v>
      </c>
      <c r="B166" s="26" t="n">
        <v>44826</v>
      </c>
      <c r="C166" s="25" t="s">
        <v>64</v>
      </c>
      <c r="D166" s="27" t="n">
        <v>100</v>
      </c>
      <c r="E166" s="27"/>
      <c r="F166" s="27" t="n">
        <f aca="false">F165-N(D166)+N(E166)</f>
        <v>2007.02</v>
      </c>
      <c r="G166" s="25" t="str">
        <f aca="false">IFERROR(LOOKUP(2^15,SEARCH('Category Rules'!$A$5:$A$23,C166),'Category Rules'!$B$5:$B$23),"Uncategorised")</f>
        <v>Transfers out</v>
      </c>
      <c r="H166" s="25" t="str">
        <f aca="false">TEXT(B166,"mmm yyyy")</f>
        <v>Sep 2022</v>
      </c>
    </row>
    <row r="167" customFormat="false" ht="15" hidden="false" customHeight="false" outlineLevel="0" collapsed="false">
      <c r="A167" s="25" t="str">
        <f aca="false">INDEX(Reconciliation!$A$6:$A$10,MATCH(B167,Reconciliation!$B$6:$B$10,1))</f>
        <v>P5</v>
      </c>
      <c r="B167" s="26" t="n">
        <v>44827</v>
      </c>
      <c r="C167" s="25" t="s">
        <v>158</v>
      </c>
      <c r="D167" s="27" t="n">
        <v>82.64</v>
      </c>
      <c r="E167" s="27"/>
      <c r="F167" s="27" t="n">
        <f aca="false">F166-N(D167)+N(E167)</f>
        <v>1924.38</v>
      </c>
      <c r="G167" s="25" t="str">
        <f aca="false">IFERROR(LOOKUP(2^15,SEARCH('Category Rules'!$A$5:$A$23,C167),'Category Rules'!$B$5:$B$23),"Uncategorised")</f>
        <v>Fuel and vehicle</v>
      </c>
      <c r="H167" s="25" t="str">
        <f aca="false">TEXT(B167,"mmm yyyy")</f>
        <v>Sep 2022</v>
      </c>
    </row>
    <row r="168" customFormat="false" ht="15" hidden="false" customHeight="false" outlineLevel="0" collapsed="false">
      <c r="A168" s="25" t="str">
        <f aca="false">INDEX(Reconciliation!$A$6:$A$10,MATCH(B168,Reconciliation!$B$6:$B$10,1))</f>
        <v>P5</v>
      </c>
      <c r="B168" s="26" t="n">
        <v>44829</v>
      </c>
      <c r="C168" s="25" t="s">
        <v>159</v>
      </c>
      <c r="D168" s="27" t="n">
        <v>92.82</v>
      </c>
      <c r="E168" s="27"/>
      <c r="F168" s="27" t="n">
        <f aca="false">F167-N(D168)+N(E168)</f>
        <v>1831.56</v>
      </c>
      <c r="G168" s="25" t="str">
        <f aca="false">IFERROR(LOOKUP(2^15,SEARCH('Category Rules'!$A$5:$A$23,C168),'Category Rules'!$B$5:$B$23),"Uncategorised")</f>
        <v>Fuel and vehicle</v>
      </c>
      <c r="H168" s="25" t="str">
        <f aca="false">TEXT(B168,"mmm yyyy")</f>
        <v>Sep 2022</v>
      </c>
    </row>
    <row r="169" customFormat="false" ht="15" hidden="false" customHeight="false" outlineLevel="0" collapsed="false">
      <c r="A169" s="25" t="str">
        <f aca="false">INDEX(Reconciliation!$A$6:$A$10,MATCH(B169,Reconciliation!$B$6:$B$10,1))</f>
        <v>P5</v>
      </c>
      <c r="B169" s="26" t="n">
        <v>44830</v>
      </c>
      <c r="C169" s="25" t="s">
        <v>64</v>
      </c>
      <c r="D169" s="27" t="n">
        <v>50</v>
      </c>
      <c r="E169" s="27"/>
      <c r="F169" s="27" t="n">
        <f aca="false">F168-N(D169)+N(E169)</f>
        <v>1781.56</v>
      </c>
      <c r="G169" s="25" t="str">
        <f aca="false">IFERROR(LOOKUP(2^15,SEARCH('Category Rules'!$A$5:$A$23,C169),'Category Rules'!$B$5:$B$23),"Uncategorised")</f>
        <v>Transfers out</v>
      </c>
      <c r="H169" s="25" t="str">
        <f aca="false">TEXT(B169,"mmm yyyy")</f>
        <v>Sep 2022</v>
      </c>
    </row>
    <row r="170" customFormat="false" ht="15" hidden="false" customHeight="false" outlineLevel="0" collapsed="false">
      <c r="A170" s="25" t="str">
        <f aca="false">INDEX(Reconciliation!$A$6:$A$10,MATCH(B170,Reconciliation!$B$6:$B$10,1))</f>
        <v>P5</v>
      </c>
      <c r="B170" s="26" t="n">
        <v>44830</v>
      </c>
      <c r="C170" s="25" t="s">
        <v>160</v>
      </c>
      <c r="D170" s="27" t="n">
        <v>14.93</v>
      </c>
      <c r="E170" s="27"/>
      <c r="F170" s="27" t="n">
        <f aca="false">F169-N(D170)+N(E170)</f>
        <v>1766.63</v>
      </c>
      <c r="G170" s="25" t="str">
        <f aca="false">IFERROR(LOOKUP(2^15,SEARCH('Category Rules'!$A$5:$A$23,C170),'Category Rules'!$B$5:$B$23),"Uncategorised")</f>
        <v>Parking</v>
      </c>
      <c r="H170" s="25" t="str">
        <f aca="false">TEXT(B170,"mmm yyyy")</f>
        <v>Sep 2022</v>
      </c>
    </row>
    <row r="171" customFormat="false" ht="15" hidden="false" customHeight="false" outlineLevel="0" collapsed="false">
      <c r="A171" s="25" t="str">
        <f aca="false">INDEX(Reconciliation!$A$6:$A$10,MATCH(B171,Reconciliation!$B$6:$B$10,1))</f>
        <v>P5</v>
      </c>
      <c r="B171" s="26" t="n">
        <v>44832</v>
      </c>
      <c r="C171" s="25" t="s">
        <v>161</v>
      </c>
      <c r="D171" s="27" t="n">
        <v>43.35</v>
      </c>
      <c r="E171" s="27"/>
      <c r="F171" s="27" t="n">
        <f aca="false">F170-N(D171)+N(E171)</f>
        <v>1723.28</v>
      </c>
      <c r="G171" s="25" t="str">
        <f aca="false">IFERROR(LOOKUP(2^15,SEARCH('Category Rules'!$A$5:$A$23,C171),'Category Rules'!$B$5:$B$23),"Uncategorised")</f>
        <v>Stock and supplies</v>
      </c>
      <c r="H171" s="25" t="str">
        <f aca="false">TEXT(B171,"mmm yyyy")</f>
        <v>Sep 2022</v>
      </c>
    </row>
    <row r="172" customFormat="false" ht="15" hidden="false" customHeight="false" outlineLevel="0" collapsed="false">
      <c r="A172" s="25" t="str">
        <f aca="false">INDEX(Reconciliation!$A$6:$A$10,MATCH(B172,Reconciliation!$B$6:$B$10,1))</f>
        <v>P5</v>
      </c>
      <c r="B172" s="26" t="n">
        <v>44833</v>
      </c>
      <c r="C172" s="25" t="s">
        <v>162</v>
      </c>
      <c r="D172" s="27" t="n">
        <v>174.93</v>
      </c>
      <c r="E172" s="27"/>
      <c r="F172" s="27" t="n">
        <f aca="false">F171-N(D172)+N(E172)</f>
        <v>1548.35</v>
      </c>
      <c r="G172" s="25" t="str">
        <f aca="false">IFERROR(LOOKUP(2^15,SEARCH('Category Rules'!$A$5:$A$23,C172),'Category Rules'!$B$5:$B$23),"Uncategorised")</f>
        <v>Stock and supplies</v>
      </c>
      <c r="H172" s="25" t="str">
        <f aca="false">TEXT(B172,"mmm yyyy")</f>
        <v>Sep 2022</v>
      </c>
    </row>
    <row r="173" customFormat="false" ht="15" hidden="false" customHeight="false" outlineLevel="0" collapsed="false">
      <c r="A173" s="25" t="str">
        <f aca="false">INDEX(Reconciliation!$A$6:$A$10,MATCH(B173,Reconciliation!$B$6:$B$10,1))</f>
        <v>P5</v>
      </c>
      <c r="B173" s="26" t="n">
        <v>44833</v>
      </c>
      <c r="C173" s="25" t="s">
        <v>163</v>
      </c>
      <c r="D173" s="27" t="n">
        <v>57.9</v>
      </c>
      <c r="E173" s="27"/>
      <c r="F173" s="27" t="n">
        <f aca="false">F172-N(D173)+N(E173)</f>
        <v>1490.45</v>
      </c>
      <c r="G173" s="25" t="str">
        <f aca="false">IFERROR(LOOKUP(2^15,SEARCH('Category Rules'!$A$5:$A$23,C173),'Category Rules'!$B$5:$B$23),"Uncategorised")</f>
        <v>Stock and supplies</v>
      </c>
      <c r="H173" s="25" t="str">
        <f aca="false">TEXT(B173,"mmm yyyy")</f>
        <v>Sep 2022</v>
      </c>
    </row>
    <row r="174" customFormat="false" ht="15" hidden="false" customHeight="false" outlineLevel="0" collapsed="false">
      <c r="A174" s="25" t="str">
        <f aca="false">INDEX(Reconciliation!$A$6:$A$10,MATCH(B174,Reconciliation!$B$6:$B$10,1))</f>
        <v>P5</v>
      </c>
      <c r="B174" s="26" t="n">
        <v>44834</v>
      </c>
      <c r="C174" s="25" t="s">
        <v>64</v>
      </c>
      <c r="D174" s="27" t="n">
        <v>25</v>
      </c>
      <c r="E174" s="27"/>
      <c r="F174" s="27" t="n">
        <f aca="false">F173-N(D174)+N(E174)</f>
        <v>1465.45</v>
      </c>
      <c r="G174" s="25" t="str">
        <f aca="false">IFERROR(LOOKUP(2^15,SEARCH('Category Rules'!$A$5:$A$23,C174),'Category Rules'!$B$5:$B$23),"Uncategorised")</f>
        <v>Transfers out</v>
      </c>
      <c r="H174" s="25" t="str">
        <f aca="false">TEXT(B174,"mmm yyyy")</f>
        <v>Sep 2022</v>
      </c>
    </row>
    <row r="175" customFormat="false" ht="15" hidden="false" customHeight="false" outlineLevel="0" collapsed="false">
      <c r="A175" s="25" t="str">
        <f aca="false">INDEX(Reconciliation!$A$6:$A$10,MATCH(B175,Reconciliation!$B$6:$B$10,1))</f>
        <v>P5</v>
      </c>
      <c r="B175" s="26" t="n">
        <v>44836</v>
      </c>
      <c r="C175" s="25" t="s">
        <v>71</v>
      </c>
      <c r="D175" s="27" t="n">
        <v>8.2</v>
      </c>
      <c r="E175" s="27"/>
      <c r="F175" s="27" t="n">
        <f aca="false">F174-N(D175)+N(E175)</f>
        <v>1457.25</v>
      </c>
      <c r="G175" s="25" t="str">
        <f aca="false">IFERROR(LOOKUP(2^15,SEARCH('Category Rules'!$A$5:$A$23,C175),'Category Rules'!$B$5:$B$23),"Uncategorised")</f>
        <v>Subscriptions and utilities</v>
      </c>
      <c r="H175" s="25" t="str">
        <f aca="false">TEXT(B175,"mmm yyyy")</f>
        <v>Oct 2022</v>
      </c>
    </row>
    <row r="176" customFormat="false" ht="15" hidden="false" customHeight="false" outlineLevel="0" collapsed="false">
      <c r="A176" s="25" t="str">
        <f aca="false">INDEX(Reconciliation!$A$6:$A$10,MATCH(B176,Reconciliation!$B$6:$B$10,1))</f>
        <v>P5</v>
      </c>
      <c r="B176" s="26" t="n">
        <v>44837</v>
      </c>
      <c r="C176" s="25" t="s">
        <v>164</v>
      </c>
      <c r="D176" s="27" t="n">
        <v>52.39</v>
      </c>
      <c r="E176" s="27"/>
      <c r="F176" s="27" t="n">
        <f aca="false">F175-N(D176)+N(E176)</f>
        <v>1404.86</v>
      </c>
      <c r="G176" s="25" t="str">
        <f aca="false">IFERROR(LOOKUP(2^15,SEARCH('Category Rules'!$A$5:$A$23,C176),'Category Rules'!$B$5:$B$23),"Uncategorised")</f>
        <v>Cash withdrawals</v>
      </c>
      <c r="H176" s="25" t="str">
        <f aca="false">TEXT(B176,"mmm yyyy")</f>
        <v>Oct 2022</v>
      </c>
    </row>
    <row r="177" customFormat="false" ht="15" hidden="false" customHeight="false" outlineLevel="0" collapsed="false">
      <c r="A177" s="25" t="str">
        <f aca="false">INDEX(Reconciliation!$A$6:$A$10,MATCH(B177,Reconciliation!$B$6:$B$10,1))</f>
        <v>P5</v>
      </c>
      <c r="B177" s="26" t="n">
        <v>44837</v>
      </c>
      <c r="C177" s="25" t="s">
        <v>165</v>
      </c>
      <c r="D177" s="27" t="n">
        <v>40.98</v>
      </c>
      <c r="E177" s="27"/>
      <c r="F177" s="27" t="n">
        <f aca="false">F176-N(D177)+N(E177)</f>
        <v>1363.88</v>
      </c>
      <c r="G177" s="25" t="str">
        <f aca="false">IFERROR(LOOKUP(2^15,SEARCH('Category Rules'!$A$5:$A$23,C177),'Category Rules'!$B$5:$B$23),"Uncategorised")</f>
        <v>Stock and supplies</v>
      </c>
      <c r="H177" s="25" t="str">
        <f aca="false">TEXT(B177,"mmm yyyy")</f>
        <v>Oct 2022</v>
      </c>
    </row>
    <row r="178" customFormat="false" ht="15" hidden="false" customHeight="false" outlineLevel="0" collapsed="false">
      <c r="A178" s="25" t="str">
        <f aca="false">INDEX(Reconciliation!$A$6:$A$10,MATCH(B178,Reconciliation!$B$6:$B$10,1))</f>
        <v>P5</v>
      </c>
      <c r="B178" s="26" t="n">
        <v>44837</v>
      </c>
      <c r="C178" s="25" t="s">
        <v>67</v>
      </c>
      <c r="D178" s="27"/>
      <c r="E178" s="27" t="n">
        <v>200</v>
      </c>
      <c r="F178" s="27" t="n">
        <f aca="false">F177-N(D178)+N(E178)</f>
        <v>1563.88</v>
      </c>
      <c r="G178" s="25" t="str">
        <f aca="false">IFERROR(LOOKUP(2^15,SEARCH('Category Rules'!$A$5:$A$23,C178),'Category Rules'!$B$5:$B$23),"Uncategorised")</f>
        <v>Income: transfers in</v>
      </c>
      <c r="H178" s="25" t="str">
        <f aca="false">TEXT(B178,"mmm yyyy")</f>
        <v>Oct 2022</v>
      </c>
    </row>
    <row r="179" customFormat="false" ht="15" hidden="false" customHeight="false" outlineLevel="0" collapsed="false">
      <c r="A179" s="25" t="str">
        <f aca="false">INDEX(Reconciliation!$A$6:$A$10,MATCH(B179,Reconciliation!$B$6:$B$10,1))</f>
        <v>P5</v>
      </c>
      <c r="B179" s="26" t="n">
        <v>44839</v>
      </c>
      <c r="C179" s="25" t="s">
        <v>166</v>
      </c>
      <c r="D179" s="27" t="n">
        <v>17.34</v>
      </c>
      <c r="E179" s="27"/>
      <c r="F179" s="27" t="n">
        <f aca="false">F178-N(D179)+N(E179)</f>
        <v>1546.54</v>
      </c>
      <c r="G179" s="25" t="str">
        <f aca="false">IFERROR(LOOKUP(2^15,SEARCH('Category Rules'!$A$5:$A$23,C179),'Category Rules'!$B$5:$B$23),"Uncategorised")</f>
        <v>Office and equipment</v>
      </c>
      <c r="H179" s="25" t="str">
        <f aca="false">TEXT(B179,"mmm yyyy")</f>
        <v>Oct 2022</v>
      </c>
    </row>
    <row r="180" customFormat="false" ht="15" hidden="false" customHeight="false" outlineLevel="0" collapsed="false">
      <c r="A180" s="25" t="str">
        <f aca="false">INDEX(Reconciliation!$A$6:$A$10,MATCH(B180,Reconciliation!$B$6:$B$10,1))</f>
        <v>P5</v>
      </c>
      <c r="B180" s="26" t="n">
        <v>44839</v>
      </c>
      <c r="C180" s="25" t="s">
        <v>64</v>
      </c>
      <c r="D180" s="27" t="n">
        <v>25</v>
      </c>
      <c r="E180" s="27"/>
      <c r="F180" s="27" t="n">
        <f aca="false">F179-N(D180)+N(E180)</f>
        <v>1521.54</v>
      </c>
      <c r="G180" s="25" t="str">
        <f aca="false">IFERROR(LOOKUP(2^15,SEARCH('Category Rules'!$A$5:$A$23,C180),'Category Rules'!$B$5:$B$23),"Uncategorised")</f>
        <v>Transfers out</v>
      </c>
      <c r="H180" s="25" t="str">
        <f aca="false">TEXT(B180,"mmm yyyy")</f>
        <v>Oct 2022</v>
      </c>
    </row>
    <row r="181" customFormat="false" ht="15" hidden="false" customHeight="false" outlineLevel="0" collapsed="false">
      <c r="A181" s="25" t="str">
        <f aca="false">INDEX(Reconciliation!$A$6:$A$10,MATCH(B181,Reconciliation!$B$6:$B$10,1))</f>
        <v>P5</v>
      </c>
      <c r="B181" s="26" t="n">
        <v>44840</v>
      </c>
      <c r="C181" s="25" t="s">
        <v>62</v>
      </c>
      <c r="D181" s="27"/>
      <c r="E181" s="27" t="n">
        <v>245.88</v>
      </c>
      <c r="F181" s="27" t="n">
        <f aca="false">F180-N(D181)+N(E181)</f>
        <v>1767.42</v>
      </c>
      <c r="G181" s="25" t="str">
        <f aca="false">IFERROR(LOOKUP(2^15,SEARCH('Category Rules'!$A$5:$A$23,C181),'Category Rules'!$B$5:$B$23),"Uncategorised")</f>
        <v>Income: client receipts</v>
      </c>
      <c r="H181" s="25" t="str">
        <f aca="false">TEXT(B181,"mmm yyyy")</f>
        <v>Oct 2022</v>
      </c>
    </row>
    <row r="182" customFormat="false" ht="15" hidden="false" customHeight="false" outlineLevel="0" collapsed="false">
      <c r="A182" s="25" t="str">
        <f aca="false">INDEX(Reconciliation!$A$6:$A$10,MATCH(B182,Reconciliation!$B$6:$B$10,1))</f>
        <v>P5</v>
      </c>
      <c r="B182" s="26" t="n">
        <v>44842</v>
      </c>
      <c r="C182" s="25" t="s">
        <v>80</v>
      </c>
      <c r="D182" s="27" t="n">
        <v>8.5</v>
      </c>
      <c r="E182" s="27"/>
      <c r="F182" s="27" t="n">
        <f aca="false">F181-N(D182)+N(E182)</f>
        <v>1758.92</v>
      </c>
      <c r="G182" s="25" t="str">
        <f aca="false">IFERROR(LOOKUP(2^15,SEARCH('Category Rules'!$A$5:$A$23,C182),'Category Rules'!$B$5:$B$23),"Uncategorised")</f>
        <v>Bank charges</v>
      </c>
      <c r="H182" s="25" t="str">
        <f aca="false">TEXT(B182,"mmm yyyy")</f>
        <v>Oct 2022</v>
      </c>
    </row>
    <row r="183" customFormat="false" ht="15" hidden="false" customHeight="false" outlineLevel="0" collapsed="false">
      <c r="A183" s="25" t="str">
        <f aca="false">INDEX(Reconciliation!$A$6:$A$10,MATCH(B183,Reconciliation!$B$6:$B$10,1))</f>
        <v>P5</v>
      </c>
      <c r="B183" s="26" t="n">
        <v>44842</v>
      </c>
      <c r="C183" s="25" t="s">
        <v>167</v>
      </c>
      <c r="D183" s="27" t="n">
        <v>3.71</v>
      </c>
      <c r="E183" s="27"/>
      <c r="F183" s="27" t="n">
        <f aca="false">F182-N(D183)+N(E183)</f>
        <v>1755.21</v>
      </c>
      <c r="G183" s="25" t="str">
        <f aca="false">IFERROR(LOOKUP(2^15,SEARCH('Category Rules'!$A$5:$A$23,C183),'Category Rules'!$B$5:$B$23),"Uncategorised")</f>
        <v>Donations</v>
      </c>
      <c r="H183" s="25" t="str">
        <f aca="false">TEXT(B183,"mmm yyyy")</f>
        <v>Oct 2022</v>
      </c>
    </row>
    <row r="184" customFormat="false" ht="15" hidden="false" customHeight="false" outlineLevel="0" collapsed="false">
      <c r="A184" s="25" t="str">
        <f aca="false">INDEX(Reconciliation!$A$6:$A$10,MATCH(B184,Reconciliation!$B$6:$B$10,1))</f>
        <v>P5</v>
      </c>
      <c r="B184" s="26" t="n">
        <v>44845</v>
      </c>
      <c r="C184" s="25" t="s">
        <v>168</v>
      </c>
      <c r="D184" s="27" t="n">
        <v>74</v>
      </c>
      <c r="E184" s="27"/>
      <c r="F184" s="27" t="n">
        <f aca="false">F183-N(D184)+N(E184)</f>
        <v>1681.21</v>
      </c>
      <c r="G184" s="25" t="str">
        <f aca="false">IFERROR(LOOKUP(2^15,SEARCH('Category Rules'!$A$5:$A$23,C184),'Category Rules'!$B$5:$B$23),"Uncategorised")</f>
        <v>Stock and supplies</v>
      </c>
      <c r="H184" s="25" t="str">
        <f aca="false">TEXT(B184,"mmm yyyy")</f>
        <v>Oct 2022</v>
      </c>
    </row>
    <row r="185" customFormat="false" ht="15" hidden="false" customHeight="false" outlineLevel="0" collapsed="false">
      <c r="A185" s="25" t="str">
        <f aca="false">INDEX(Reconciliation!$A$6:$A$10,MATCH(B185,Reconciliation!$B$6:$B$10,1))</f>
        <v>P5</v>
      </c>
      <c r="B185" s="26" t="n">
        <v>44845</v>
      </c>
      <c r="C185" s="25" t="s">
        <v>169</v>
      </c>
      <c r="D185" s="27" t="n">
        <v>52.93</v>
      </c>
      <c r="E185" s="27"/>
      <c r="F185" s="27" t="n">
        <f aca="false">F184-N(D185)+N(E185)</f>
        <v>1628.28</v>
      </c>
      <c r="G185" s="25" t="str">
        <f aca="false">IFERROR(LOOKUP(2^15,SEARCH('Category Rules'!$A$5:$A$23,C185),'Category Rules'!$B$5:$B$23),"Uncategorised")</f>
        <v>Office and equipment</v>
      </c>
      <c r="H185" s="25" t="str">
        <f aca="false">TEXT(B185,"mmm yyyy")</f>
        <v>Oct 2022</v>
      </c>
    </row>
    <row r="186" customFormat="false" ht="15" hidden="false" customHeight="false" outlineLevel="0" collapsed="false">
      <c r="A186" s="25" t="str">
        <f aca="false">INDEX(Reconciliation!$A$6:$A$10,MATCH(B186,Reconciliation!$B$6:$B$10,1))</f>
        <v>P5</v>
      </c>
      <c r="B186" s="26" t="n">
        <v>44845</v>
      </c>
      <c r="C186" s="25" t="s">
        <v>170</v>
      </c>
      <c r="D186" s="27" t="n">
        <v>33.53</v>
      </c>
      <c r="E186" s="27"/>
      <c r="F186" s="27" t="n">
        <f aca="false">F185-N(D186)+N(E186)</f>
        <v>1594.75</v>
      </c>
      <c r="G186" s="25" t="str">
        <f aca="false">IFERROR(LOOKUP(2^15,SEARCH('Category Rules'!$A$5:$A$23,C186),'Category Rules'!$B$5:$B$23),"Uncategorised")</f>
        <v>Stock and supplies</v>
      </c>
      <c r="H186" s="25" t="str">
        <f aca="false">TEXT(B186,"mmm yyyy")</f>
        <v>Oct 2022</v>
      </c>
    </row>
    <row r="187" customFormat="false" ht="15" hidden="false" customHeight="false" outlineLevel="0" collapsed="false">
      <c r="A187" s="25" t="str">
        <f aca="false">INDEX(Reconciliation!$A$6:$A$10,MATCH(B187,Reconciliation!$B$6:$B$10,1))</f>
        <v>P5</v>
      </c>
      <c r="B187" s="26" t="n">
        <v>44845</v>
      </c>
      <c r="C187" s="25" t="s">
        <v>171</v>
      </c>
      <c r="D187" s="27" t="n">
        <v>55</v>
      </c>
      <c r="E187" s="27"/>
      <c r="F187" s="27" t="n">
        <f aca="false">F186-N(D187)+N(E187)</f>
        <v>1539.75</v>
      </c>
      <c r="G187" s="25" t="str">
        <f aca="false">IFERROR(LOOKUP(2^15,SEARCH('Category Rules'!$A$5:$A$23,C187),'Category Rules'!$B$5:$B$23),"Uncategorised")</f>
        <v>Stock and supplies</v>
      </c>
      <c r="H187" s="25" t="str">
        <f aca="false">TEXT(B187,"mmm yyyy")</f>
        <v>Oct 2022</v>
      </c>
    </row>
    <row r="188" customFormat="false" ht="15" hidden="false" customHeight="false" outlineLevel="0" collapsed="false">
      <c r="A188" s="25" t="str">
        <f aca="false">INDEX(Reconciliation!$A$6:$A$10,MATCH(B188,Reconciliation!$B$6:$B$10,1))</f>
        <v>P5</v>
      </c>
      <c r="B188" s="26" t="n">
        <v>44845</v>
      </c>
      <c r="C188" s="25" t="s">
        <v>172</v>
      </c>
      <c r="D188" s="27" t="n">
        <v>24.27</v>
      </c>
      <c r="E188" s="27"/>
      <c r="F188" s="27" t="n">
        <f aca="false">F187-N(D188)+N(E188)</f>
        <v>1515.48</v>
      </c>
      <c r="G188" s="25" t="str">
        <f aca="false">IFERROR(LOOKUP(2^15,SEARCH('Category Rules'!$A$5:$A$23,C188),'Category Rules'!$B$5:$B$23),"Uncategorised")</f>
        <v>Donations</v>
      </c>
      <c r="H188" s="25" t="str">
        <f aca="false">TEXT(B188,"mmm yyyy")</f>
        <v>Oct 2022</v>
      </c>
    </row>
  </sheetData>
  <conditionalFormatting sqref="G6:G188">
    <cfRule type="cellIs" priority="2" operator="equal" aboveAverage="0" equalAverage="0" bottom="0" percent="0" rank="0" text="" dxfId="5">
      <formula>"Uncategorised"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14"/>
    <col collapsed="false" customWidth="true" hidden="false" outlineLevel="0" max="6" min="5" style="0" width="13"/>
    <col collapsed="false" customWidth="true" hidden="false" outlineLevel="0" max="7" min="7" style="0" width="14"/>
    <col collapsed="false" customWidth="true" hidden="false" outlineLevel="0" max="8" min="8" style="0" width="15"/>
    <col collapsed="false" customWidth="true" hidden="false" outlineLevel="0" max="11" min="9" style="0" width="12"/>
  </cols>
  <sheetData>
    <row r="1" customFormat="false" ht="17.35" hidden="false" customHeight="false" outlineLevel="0" collapsed="false">
      <c r="A1" s="5" t="s">
        <v>173</v>
      </c>
    </row>
    <row r="2" customFormat="false" ht="15" hidden="false" customHeight="false" outlineLevel="0" collapsed="false">
      <c r="A2" s="6" t="s">
        <v>174</v>
      </c>
    </row>
    <row r="5" customFormat="false" ht="31.5" hidden="false" customHeight="true" outlineLevel="0" collapsed="false">
      <c r="A5" s="9" t="s">
        <v>54</v>
      </c>
      <c r="B5" s="9" t="s">
        <v>175</v>
      </c>
      <c r="C5" s="9" t="s">
        <v>176</v>
      </c>
      <c r="D5" s="9" t="s">
        <v>177</v>
      </c>
      <c r="E5" s="9" t="s">
        <v>57</v>
      </c>
      <c r="F5" s="9" t="s">
        <v>58</v>
      </c>
      <c r="G5" s="9" t="s">
        <v>178</v>
      </c>
      <c r="H5" s="9" t="s">
        <v>179</v>
      </c>
      <c r="I5" s="9" t="s">
        <v>180</v>
      </c>
      <c r="J5" s="9" t="s">
        <v>181</v>
      </c>
      <c r="K5" s="9" t="s">
        <v>51</v>
      </c>
    </row>
    <row r="6" customFormat="false" ht="15" hidden="false" customHeight="false" outlineLevel="0" collapsed="false">
      <c r="A6" s="14" t="s">
        <v>19</v>
      </c>
      <c r="B6" s="28" t="n">
        <v>44702</v>
      </c>
      <c r="C6" s="28" t="n">
        <v>44734</v>
      </c>
      <c r="D6" s="29" t="n">
        <f aca="false">Transactions!$D$3</f>
        <v>2410</v>
      </c>
      <c r="E6" s="29" t="n">
        <f aca="false">SUMIFS(Transactions!$D$6:$D$188,Transactions!$A$6:$A$188,A6)</f>
        <v>2038.68</v>
      </c>
      <c r="F6" s="29" t="n">
        <f aca="false">SUMIFS(Transactions!$E$6:$E$188,Transactions!$A$6:$A$188,A6)</f>
        <v>2626.21</v>
      </c>
      <c r="G6" s="29" t="n">
        <f aca="false">D6-E6+F6</f>
        <v>2997.53</v>
      </c>
      <c r="H6" s="24" t="n">
        <v>2997.53</v>
      </c>
      <c r="I6" s="29" t="n">
        <f aca="false">ROUND(G6-H6,2)</f>
        <v>0</v>
      </c>
      <c r="J6" s="14" t="str">
        <f aca="false">IF(I6=0,"Reconciled","Check")</f>
        <v>Reconciled</v>
      </c>
      <c r="K6" s="14" t="n">
        <f aca="false">COUNTIF(Transactions!$A$6:$A$188,A6)</f>
        <v>44</v>
      </c>
    </row>
    <row r="7" customFormat="false" ht="15" hidden="false" customHeight="false" outlineLevel="0" collapsed="false">
      <c r="A7" s="14" t="s">
        <v>20</v>
      </c>
      <c r="B7" s="28" t="n">
        <v>44735</v>
      </c>
      <c r="C7" s="28" t="n">
        <v>44764</v>
      </c>
      <c r="D7" s="29" t="n">
        <f aca="false">H6</f>
        <v>2997.53</v>
      </c>
      <c r="E7" s="29" t="n">
        <f aca="false">SUMIFS(Transactions!$D$6:$D$188,Transactions!$A$6:$A$188,A7)</f>
        <v>2741.44</v>
      </c>
      <c r="F7" s="29" t="n">
        <f aca="false">SUMIFS(Transactions!$E$6:$E$188,Transactions!$A$6:$A$188,A7)</f>
        <v>1523.45</v>
      </c>
      <c r="G7" s="29" t="n">
        <f aca="false">D7-E7+F7</f>
        <v>1779.54</v>
      </c>
      <c r="H7" s="24" t="n">
        <v>1779.54</v>
      </c>
      <c r="I7" s="29" t="n">
        <f aca="false">ROUND(G7-H7,2)</f>
        <v>0</v>
      </c>
      <c r="J7" s="14" t="str">
        <f aca="false">IF(I7=0,"Reconciled","Check")</f>
        <v>Reconciled</v>
      </c>
      <c r="K7" s="14" t="n">
        <f aca="false">COUNTIF(Transactions!$A$6:$A$188,A7)</f>
        <v>38</v>
      </c>
    </row>
    <row r="8" customFormat="false" ht="15" hidden="false" customHeight="false" outlineLevel="0" collapsed="false">
      <c r="A8" s="14" t="s">
        <v>21</v>
      </c>
      <c r="B8" s="28" t="n">
        <v>44765</v>
      </c>
      <c r="C8" s="28" t="n">
        <v>44795</v>
      </c>
      <c r="D8" s="29" t="n">
        <f aca="false">H7</f>
        <v>1779.54</v>
      </c>
      <c r="E8" s="29" t="n">
        <f aca="false">SUMIFS(Transactions!$D$6:$D$188,Transactions!$A$6:$A$188,A8)</f>
        <v>3841.47</v>
      </c>
      <c r="F8" s="29" t="n">
        <f aca="false">SUMIFS(Transactions!$E$6:$E$188,Transactions!$A$6:$A$188,A8)</f>
        <v>4755</v>
      </c>
      <c r="G8" s="29" t="n">
        <f aca="false">D8-E8+F8</f>
        <v>2693.07</v>
      </c>
      <c r="H8" s="24" t="n">
        <v>2693.07</v>
      </c>
      <c r="I8" s="29" t="n">
        <f aca="false">ROUND(G8-H8,2)</f>
        <v>0</v>
      </c>
      <c r="J8" s="14" t="str">
        <f aca="false">IF(I8=0,"Reconciled","Check")</f>
        <v>Reconciled</v>
      </c>
      <c r="K8" s="14" t="n">
        <f aca="false">COUNTIF(Transactions!$A$6:$A$188,A8)</f>
        <v>40</v>
      </c>
    </row>
    <row r="9" customFormat="false" ht="15" hidden="false" customHeight="false" outlineLevel="0" collapsed="false">
      <c r="A9" s="14" t="s">
        <v>17</v>
      </c>
      <c r="B9" s="28" t="n">
        <v>44796</v>
      </c>
      <c r="C9" s="28" t="n">
        <v>44826</v>
      </c>
      <c r="D9" s="29" t="n">
        <f aca="false">H8</f>
        <v>2693.07</v>
      </c>
      <c r="E9" s="29" t="n">
        <f aca="false">SUMIFS(Transactions!$D$6:$D$188,Transactions!$A$6:$A$188,A9)</f>
        <v>3443.76</v>
      </c>
      <c r="F9" s="29" t="n">
        <f aca="false">SUMIFS(Transactions!$E$6:$E$188,Transactions!$A$6:$A$188,A9)</f>
        <v>2757.71</v>
      </c>
      <c r="G9" s="29" t="n">
        <f aca="false">D9-E9+F9</f>
        <v>2007.02</v>
      </c>
      <c r="H9" s="24" t="n">
        <v>2007.02</v>
      </c>
      <c r="I9" s="29" t="n">
        <f aca="false">ROUND(G9-H9,2)</f>
        <v>0</v>
      </c>
      <c r="J9" s="14" t="str">
        <f aca="false">IF(I9=0,"Reconciled","Check")</f>
        <v>Reconciled</v>
      </c>
      <c r="K9" s="14" t="n">
        <f aca="false">COUNTIF(Transactions!$A$6:$A$188,A9)</f>
        <v>39</v>
      </c>
    </row>
    <row r="10" customFormat="false" ht="15" hidden="false" customHeight="false" outlineLevel="0" collapsed="false">
      <c r="A10" s="14" t="s">
        <v>22</v>
      </c>
      <c r="B10" s="28" t="n">
        <v>44827</v>
      </c>
      <c r="C10" s="28" t="n">
        <v>44845</v>
      </c>
      <c r="D10" s="29" t="n">
        <f aca="false">H9</f>
        <v>2007.02</v>
      </c>
      <c r="E10" s="29" t="n">
        <f aca="false">SUMIFS(Transactions!$D$6:$D$188,Transactions!$A$6:$A$188,A10)</f>
        <v>937.42</v>
      </c>
      <c r="F10" s="29" t="n">
        <f aca="false">SUMIFS(Transactions!$E$6:$E$188,Transactions!$A$6:$A$188,A10)</f>
        <v>445.88</v>
      </c>
      <c r="G10" s="29" t="n">
        <f aca="false">D10-E10+F10</f>
        <v>1515.48</v>
      </c>
      <c r="H10" s="24" t="n">
        <v>1515.48</v>
      </c>
      <c r="I10" s="29" t="n">
        <f aca="false">ROUND(G10-H10,2)</f>
        <v>0</v>
      </c>
      <c r="J10" s="14" t="str">
        <f aca="false">IF(I10=0,"Reconciled","Check")</f>
        <v>Reconciled</v>
      </c>
      <c r="K10" s="14" t="n">
        <f aca="false">COUNTIF(Transactions!$A$6:$A$188,A10)</f>
        <v>22</v>
      </c>
    </row>
    <row r="11" customFormat="false" ht="15" hidden="false" customHeight="false" outlineLevel="0" collapsed="false">
      <c r="A11" s="7" t="s">
        <v>23</v>
      </c>
      <c r="E11" s="30" t="n">
        <f aca="false">SUM(E6:E10)</f>
        <v>13002.77</v>
      </c>
      <c r="F11" s="30" t="n">
        <f aca="false">SUM(F6:F10)</f>
        <v>12108.25</v>
      </c>
      <c r="K11" s="31" t="n">
        <f aca="false">SUM(K6:K10)</f>
        <v>183</v>
      </c>
    </row>
    <row r="13" customFormat="false" ht="15" hidden="false" customHeight="false" outlineLevel="0" collapsed="false">
      <c r="A13" s="6" t="s">
        <v>182</v>
      </c>
    </row>
  </sheetData>
  <conditionalFormatting sqref="J6:J10">
    <cfRule type="cellIs" priority="2" operator="equal" aboveAverage="0" equalAverage="0" bottom="0" percent="0" rank="0" text="" dxfId="6">
      <formula>"Reconciled"</formula>
    </cfRule>
    <cfRule type="cellIs" priority="3" operator="equal" aboveAverage="0" equalAverage="0" bottom="0" percent="0" rank="0" text="" dxfId="0">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1"/>
  </cols>
  <sheetData>
    <row r="1" customFormat="false" ht="17.35" hidden="false" customHeight="false" outlineLevel="0" collapsed="false">
      <c r="A1" s="5" t="s">
        <v>183</v>
      </c>
    </row>
    <row r="2" customFormat="false" ht="15" hidden="false" customHeight="false" outlineLevel="0" collapsed="false">
      <c r="A2" s="6" t="s">
        <v>184</v>
      </c>
    </row>
    <row r="4" customFormat="false" ht="15" hidden="false" customHeight="false" outlineLevel="0" collapsed="false">
      <c r="A4" s="9" t="s">
        <v>185</v>
      </c>
      <c r="B4" s="9" t="s">
        <v>18</v>
      </c>
      <c r="C4" s="9" t="s">
        <v>186</v>
      </c>
    </row>
    <row r="5" customFormat="false" ht="15" hidden="false" customHeight="false" outlineLevel="0" collapsed="false">
      <c r="A5" s="8" t="s">
        <v>187</v>
      </c>
      <c r="B5" s="22" t="s">
        <v>45</v>
      </c>
      <c r="C5" s="22" t="s">
        <v>188</v>
      </c>
    </row>
    <row r="6" customFormat="false" ht="15" hidden="false" customHeight="false" outlineLevel="0" collapsed="false">
      <c r="A6" s="8" t="s">
        <v>189</v>
      </c>
      <c r="B6" s="22" t="s">
        <v>46</v>
      </c>
      <c r="C6" s="22" t="s">
        <v>188</v>
      </c>
    </row>
    <row r="7" customFormat="false" ht="15" hidden="false" customHeight="false" outlineLevel="0" collapsed="false">
      <c r="A7" s="8" t="s">
        <v>190</v>
      </c>
      <c r="B7" s="22" t="s">
        <v>31</v>
      </c>
      <c r="C7" s="22" t="s">
        <v>191</v>
      </c>
    </row>
    <row r="8" customFormat="false" ht="15" hidden="false" customHeight="false" outlineLevel="0" collapsed="false">
      <c r="A8" s="8" t="s">
        <v>192</v>
      </c>
      <c r="B8" s="22" t="s">
        <v>32</v>
      </c>
      <c r="C8" s="22" t="s">
        <v>191</v>
      </c>
    </row>
    <row r="9" customFormat="false" ht="15" hidden="false" customHeight="false" outlineLevel="0" collapsed="false">
      <c r="A9" s="8" t="s">
        <v>193</v>
      </c>
      <c r="B9" s="22" t="s">
        <v>33</v>
      </c>
      <c r="C9" s="22" t="s">
        <v>191</v>
      </c>
    </row>
    <row r="10" customFormat="false" ht="15" hidden="false" customHeight="false" outlineLevel="0" collapsed="false">
      <c r="A10" s="8" t="s">
        <v>194</v>
      </c>
      <c r="B10" s="22" t="s">
        <v>33</v>
      </c>
      <c r="C10" s="22" t="s">
        <v>191</v>
      </c>
    </row>
    <row r="11" customFormat="false" ht="15" hidden="false" customHeight="false" outlineLevel="0" collapsed="false">
      <c r="A11" s="8" t="s">
        <v>195</v>
      </c>
      <c r="B11" s="22" t="s">
        <v>33</v>
      </c>
      <c r="C11" s="22" t="s">
        <v>191</v>
      </c>
    </row>
    <row r="12" customFormat="false" ht="15" hidden="false" customHeight="false" outlineLevel="0" collapsed="false">
      <c r="A12" s="8" t="s">
        <v>196</v>
      </c>
      <c r="B12" s="22" t="s">
        <v>34</v>
      </c>
      <c r="C12" s="22" t="s">
        <v>191</v>
      </c>
    </row>
    <row r="13" customFormat="false" ht="15" hidden="false" customHeight="false" outlineLevel="0" collapsed="false">
      <c r="A13" s="8" t="s">
        <v>197</v>
      </c>
      <c r="B13" s="22" t="s">
        <v>34</v>
      </c>
      <c r="C13" s="22" t="s">
        <v>191</v>
      </c>
    </row>
    <row r="14" customFormat="false" ht="15" hidden="false" customHeight="false" outlineLevel="0" collapsed="false">
      <c r="A14" s="8" t="s">
        <v>198</v>
      </c>
      <c r="B14" s="22" t="s">
        <v>34</v>
      </c>
      <c r="C14" s="22" t="s">
        <v>191</v>
      </c>
    </row>
    <row r="15" customFormat="false" ht="15" hidden="false" customHeight="false" outlineLevel="0" collapsed="false">
      <c r="A15" s="8" t="s">
        <v>199</v>
      </c>
      <c r="B15" s="22" t="s">
        <v>35</v>
      </c>
      <c r="C15" s="22" t="s">
        <v>191</v>
      </c>
    </row>
    <row r="16" customFormat="false" ht="15" hidden="false" customHeight="false" outlineLevel="0" collapsed="false">
      <c r="A16" s="8" t="s">
        <v>200</v>
      </c>
      <c r="B16" s="22" t="s">
        <v>36</v>
      </c>
      <c r="C16" s="22" t="s">
        <v>191</v>
      </c>
    </row>
    <row r="17" customFormat="false" ht="15" hidden="false" customHeight="false" outlineLevel="0" collapsed="false">
      <c r="A17" s="8" t="s">
        <v>201</v>
      </c>
      <c r="B17" s="22" t="s">
        <v>37</v>
      </c>
      <c r="C17" s="22" t="s">
        <v>191</v>
      </c>
    </row>
    <row r="18" customFormat="false" ht="15" hidden="false" customHeight="false" outlineLevel="0" collapsed="false">
      <c r="A18" s="8" t="s">
        <v>202</v>
      </c>
      <c r="B18" s="22" t="s">
        <v>38</v>
      </c>
      <c r="C18" s="22" t="s">
        <v>191</v>
      </c>
    </row>
    <row r="19" customFormat="false" ht="15" hidden="false" customHeight="false" outlineLevel="0" collapsed="false">
      <c r="A19" s="8" t="s">
        <v>203</v>
      </c>
      <c r="B19" s="22" t="s">
        <v>39</v>
      </c>
      <c r="C19" s="22" t="s">
        <v>191</v>
      </c>
    </row>
    <row r="20" customFormat="false" ht="15" hidden="false" customHeight="false" outlineLevel="0" collapsed="false">
      <c r="A20" s="8" t="s">
        <v>204</v>
      </c>
      <c r="B20" s="22" t="s">
        <v>40</v>
      </c>
      <c r="C20" s="22" t="s">
        <v>191</v>
      </c>
    </row>
    <row r="21" customFormat="false" ht="15" hidden="false" customHeight="false" outlineLevel="0" collapsed="false">
      <c r="A21" s="8" t="s">
        <v>205</v>
      </c>
      <c r="B21" s="22" t="s">
        <v>41</v>
      </c>
      <c r="C21" s="22" t="s">
        <v>191</v>
      </c>
    </row>
    <row r="22" customFormat="false" ht="15" hidden="false" customHeight="false" outlineLevel="0" collapsed="false">
      <c r="A22" s="8" t="s">
        <v>206</v>
      </c>
      <c r="B22" s="22" t="s">
        <v>42</v>
      </c>
      <c r="C22" s="22" t="s">
        <v>191</v>
      </c>
    </row>
    <row r="23" customFormat="false" ht="15" hidden="false" customHeight="false" outlineLevel="0" collapsed="false">
      <c r="A23" s="8" t="s">
        <v>207</v>
      </c>
      <c r="B23" s="22" t="s">
        <v>42</v>
      </c>
      <c r="C23" s="22"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4" min="3" style="0" width="10"/>
  </cols>
  <sheetData>
    <row r="1" customFormat="false" ht="17.35" hidden="false" customHeight="false" outlineLevel="0" collapsed="false">
      <c r="A1" s="5" t="s">
        <v>208</v>
      </c>
    </row>
    <row r="2" customFormat="false" ht="15" hidden="false" customHeight="false" outlineLevel="0" collapsed="false">
      <c r="A2" s="6" t="s">
        <v>209</v>
      </c>
    </row>
    <row r="4" customFormat="false" ht="15" hidden="false" customHeight="false" outlineLevel="0" collapsed="false">
      <c r="A4" s="9" t="s">
        <v>210</v>
      </c>
      <c r="B4" s="9" t="s">
        <v>211</v>
      </c>
      <c r="C4" s="9" t="s">
        <v>212</v>
      </c>
      <c r="D4" s="9" t="s">
        <v>213</v>
      </c>
    </row>
    <row r="5" customFormat="false" ht="15" hidden="false" customHeight="false" outlineLevel="0" collapsed="false">
      <c r="A5" s="14" t="s">
        <v>214</v>
      </c>
      <c r="B5" s="14" t="n">
        <f aca="false">COUNTA(Transactions!$C$6:$C$188)</f>
        <v>183</v>
      </c>
      <c r="C5" s="14" t="n">
        <v>183</v>
      </c>
      <c r="D5" s="32" t="str">
        <f aca="false">IF(B5=C5,"OK","CHECK")</f>
        <v>OK</v>
      </c>
    </row>
    <row r="6" customFormat="false" ht="15" hidden="false" customHeight="false" outlineLevel="0" collapsed="false">
      <c r="A6" s="14" t="s">
        <v>215</v>
      </c>
      <c r="B6" s="14" t="n">
        <f aca="false">COUNTIF(Transactions!$G$6:$G$188,"Uncategorised")</f>
        <v>0</v>
      </c>
      <c r="C6" s="14" t="n">
        <v>0</v>
      </c>
      <c r="D6" s="32" t="str">
        <f aca="false">IF(B6=C6,"OK","CHECK")</f>
        <v>OK</v>
      </c>
    </row>
    <row r="7" customFormat="false" ht="15" hidden="false" customHeight="false" outlineLevel="0" collapsed="false">
      <c r="A7" s="14" t="s">
        <v>216</v>
      </c>
      <c r="B7" s="14" t="n">
        <f aca="false">COUNTIF(Reconciliation!$J$6:$J$10,"Reconciled")</f>
        <v>5</v>
      </c>
      <c r="C7" s="14" t="n">
        <v>5</v>
      </c>
      <c r="D7" s="32" t="str">
        <f aca="false">IF(B7=C7,"OK","CHECK")</f>
        <v>OK</v>
      </c>
    </row>
    <row r="8" customFormat="false" ht="15" hidden="false" customHeight="false" outlineLevel="0" collapsed="false">
      <c r="A8" s="14" t="s">
        <v>217</v>
      </c>
      <c r="B8" s="14" t="n">
        <f aca="false">ROUND(SUM(Transactions!$D$6:$D$188)-Budget!G20,2)</f>
        <v>0</v>
      </c>
      <c r="C8" s="14" t="n">
        <v>0</v>
      </c>
      <c r="D8" s="32" t="str">
        <f aca="false">IF(B8=C8,"OK","CHECK")</f>
        <v>OK</v>
      </c>
    </row>
    <row r="9" customFormat="false" ht="15" hidden="false" customHeight="false" outlineLevel="0" collapsed="false">
      <c r="A9" s="14" t="s">
        <v>218</v>
      </c>
      <c r="B9" s="14" t="n">
        <f aca="false">ROUND(SUM(Transactions!$E$6:$E$188)-Budget!G25,2)</f>
        <v>0</v>
      </c>
      <c r="C9" s="14" t="n">
        <v>0</v>
      </c>
      <c r="D9" s="32" t="str">
        <f aca="false">IF(B9=C9,"OK","CHECK")</f>
        <v>OK</v>
      </c>
    </row>
    <row r="10" customFormat="false" ht="15" hidden="false" customHeight="false" outlineLevel="0" collapsed="false">
      <c r="A10" s="14" t="s">
        <v>219</v>
      </c>
      <c r="B10" s="14" t="n">
        <f aca="false">ROUND(Transactions!F188-Reconciliation!H10,2)</f>
        <v>0</v>
      </c>
      <c r="C10" s="14" t="n">
        <v>0</v>
      </c>
      <c r="D10" s="32" t="str">
        <f aca="false">IF(B10=C10,"OK","CHECK")</f>
        <v>OK</v>
      </c>
    </row>
  </sheetData>
  <conditionalFormatting sqref="D5:D10">
    <cfRule type="cellIs" priority="2" operator="equal" aboveAverage="0" equalAverage="0" bottom="0" percent="0" rank="0" text="" dxfId="6">
      <formula>"OK"</formula>
    </cfRule>
    <cfRule type="cellIs" priority="3" operator="equal" aboveAverage="0" equalAverage="0" bottom="0" percent="0" rank="0" text="" dxfId="0">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2026-10-14T10:30:49Z</dcterms:created>
  <dc:creator>Ade Adelaja</dc:creator>
  <dc:description>Cleaned file: real names, figures and records replaced with synthetic data of the same structure.</dc:description>
  <cp:keywords>cleaned synthetic</cp:keywords>
  <dc:language>en-US</dc:language>
  <cp:lastModifiedBy/>
  <dcterms:modified xsi:type="dcterms:W3CDTF">2026-10-14T10:30:51Z</dcterms:modified>
  <cp:revision>1</cp:revision>
  <dc:subject>Portfolio evidence, cleaned</dc:subject>
  <dc:title>Bank statement to budget, cleaned</dc:title>
</cp:coreProperties>
</file>

<file path=docProps/custom.xml><?xml version="1.0" encoding="utf-8"?>
<Properties xmlns="http://schemas.openxmlformats.org/officeDocument/2006/custom-properties" xmlns:vt="http://schemas.openxmlformats.org/officeDocument/2006/docPropsVTypes"/>
</file>