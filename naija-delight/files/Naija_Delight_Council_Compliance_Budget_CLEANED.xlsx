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ne-off Costs" sheetId="1" state="visible" r:id="rId3"/>
    <sheet name="Recurring Cos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<sst xmlns="http://schemas.openxmlformats.org/spreadsheetml/2006/main" count="143" uniqueCount="126">
  <si>
    <t xml:space="preserve">NAIJA DELIGHT: COUNCIL COMPLIANCE BUDGET · ONE-OFF COSTS</t>
  </si>
  <si>
    <t xml:space="preserve">Council compliance only · Licensing fees confirmed Jul 2026 (green fill) · Food &amp; Safety figures still estimated (blue), awaiting their reply</t>
  </si>
  <si>
    <t xml:space="preserve">Item</t>
  </si>
  <si>
    <t xml:space="preserve">Team / Authority</t>
  </si>
  <si>
    <t xml:space="preserve">Applies when</t>
  </si>
  <si>
    <t xml:space="preserve">Low (£)</t>
  </si>
  <si>
    <t xml:space="preserve">High (£)</t>
  </si>
  <si>
    <t xml:space="preserve">Notes</t>
  </si>
  <si>
    <t xml:space="preserve">A. CORE, MANDATORY AT LAUNCH</t>
  </si>
  <si>
    <t xml:space="preserve">Food business registration</t>
  </si>
  <si>
    <t xml:space="preserve">Food &amp; Safety team</t>
  </si>
  <si>
    <t xml:space="preserve">Always, register at least 28 days before opening</t>
  </si>
  <si>
    <t xml:space="preserve">Free, register.food.gov.uk/new/coventry. Submit on lease-signing day.</t>
  </si>
  <si>
    <t xml:space="preserve">Level 2 food hygiene training, launch team</t>
  </si>
  <si>
    <t xml:space="preserve">Food &amp; Safety expectation</t>
  </si>
  <si>
    <t xml:space="preserve">Always, all food handlers</t>
  </si>
  <si>
    <t xml:space="preserve">Assumes 4 staff at ~£15 to £30/person (online, accredited). Refresh ~every 3 years.</t>
  </si>
  <si>
    <t xml:space="preserve">Food safety management system (SFBB) + allergen matrix</t>
  </si>
  <si>
    <t xml:space="preserve">Always, checked at first inspection</t>
  </si>
  <si>
    <t xml:space="preserve">FSA 'Safer Food, Better Business' pack is free to download; cost is setup time only.</t>
  </si>
  <si>
    <t xml:space="preserve">Subtotal A, Core</t>
  </si>
  <si>
    <t xml:space="preserve">B. ADVISORY, OPTIONAL, RECOMMENDED PRE-LEASE</t>
  </si>
  <si>
    <t xml:space="preserve">New-business site visit to proposed premises</t>
  </si>
  <si>
    <t xml:space="preserve">Optional, before signing the lease</t>
  </si>
  <si>
    <t xml:space="preserve">£248 incl. VAT. Council officer visit (1.5 hrs), effectively council-run due diligence on the unit.</t>
  </si>
  <si>
    <t xml:space="preserve">Online advisory session</t>
  </si>
  <si>
    <t xml:space="preserve">Optional</t>
  </si>
  <si>
    <t xml:space="preserve">£99/hr incl. VAT, alternative if the site visit is not booked.</t>
  </si>
  <si>
    <t xml:space="preserve">Licensing pre-application advice</t>
  </si>
  <si>
    <t xml:space="preserve">Licensing team</t>
  </si>
  <si>
    <t xml:space="preserve">Optional, only if licensing in Phase 2</t>
  </si>
  <si>
    <t xml:space="preserve">✓ Confirmed by Licensing (Jul 2026): £127 entry-level to £360 for larger/complex applications, inc VAT, depends on premises size, complexity, and whether a site visit is needed. Book via licensing@coventry.gov.uk. Low = skip.</t>
  </si>
  <si>
    <t xml:space="preserve">Subtotal B, Advisory</t>
  </si>
  <si>
    <t xml:space="preserve">C. ALCOHOL / TRADING AFTER 11PM, PHASE 2 ONLY</t>
  </si>
  <si>
    <t xml:space="preserve">Premises licence application</t>
  </si>
  <si>
    <t xml:space="preserve">If selling alcohol OR serving hot food/drink after 11pm</t>
  </si>
  <si>
    <t xml:space="preserve">✓ Confirmed bands: A £100 (RV £0 to 4,300) · B £190 (£4,301 to 33,000) · C £315 (£33,001 to 87,000) · D £450 (£87,001 to 125,000) · E £635 (£125,001+). Band B likely for a small city-centre unit; range shown A to C.</t>
  </si>
  <si>
    <t xml:space="preserve">Statutory newspaper notice</t>
  </si>
  <si>
    <t xml:space="preserve">Licensing requirement</t>
  </si>
  <si>
    <t xml:space="preserve">With a premises licence application</t>
  </si>
  <si>
    <t xml:space="preserve">Local paper ad within 10 working days of application, plus notice displayed at premises through the 28-day consultation.</t>
  </si>
  <si>
    <t xml:space="preserve">Personal licence application (DPS)</t>
  </si>
  <si>
    <t xml:space="preserve">With alcohol sales</t>
  </si>
  <si>
    <t xml:space="preserve">✓ Confirmed by Licensing: £37.00, issued within 24 hrs if criteria met (personal-licence qualification + proof of right to work + clear DBS). One per designated premises supervisor.</t>
  </si>
  <si>
    <t xml:space="preserve">APLH qualification + basic DBS</t>
  </si>
  <si>
    <t xml:space="preserve">Third-party (not a council fee)</t>
  </si>
  <si>
    <t xml:space="preserve">Prerequisite for the personal licence</t>
  </si>
  <si>
    <t xml:space="preserve">Required before the £37 licence: accredited APLH course (~£20 to 90 online) + basic DBS disclosure (£18, gov.uk). Paid to providers, not the council.</t>
  </si>
  <si>
    <t xml:space="preserve">Subtotal C, Alcohol / after 11pm</t>
  </si>
  <si>
    <t xml:space="preserve">D. OUTDOOR SEATING, IF PURSUED</t>
  </si>
  <si>
    <t xml:space="preserve">Pavement licence application</t>
  </si>
  <si>
    <t xml:space="preserve">Licensing / Planning</t>
  </si>
  <si>
    <t xml:space="preserve">If tables/chairs on the public highway</t>
  </si>
  <si>
    <t xml:space="preserve">New-application fee capped at £500 by statute. ⚠ Licensing note: confirm with Planning first that outside seating is permissible, it can complicate the premises licence depending on the chosen location.</t>
  </si>
  <si>
    <t xml:space="preserve">Subtotal D, Outdoor seating</t>
  </si>
  <si>
    <t xml:space="preserve">E. PREMISES-DEPENDENT, AVOIDED BY CHOOSING AN EX-FOOD UNIT</t>
  </si>
  <si>
    <t xml:space="preserve">Planning: change of use application</t>
  </si>
  <si>
    <t xml:space="preserve">Planning</t>
  </si>
  <si>
    <t xml:space="preserve">Only if the unit is ex-takeaway / ex-pub (sui generis)</t>
  </si>
  <si>
    <t xml:space="preserve">~8-week determination. A Use Class E unit (ex-shop/café/restaurant) needs no change of use = £0. Confirm fee with Planning.</t>
  </si>
  <si>
    <t xml:space="preserve">Planning: new external extraction flue</t>
  </si>
  <si>
    <t xml:space="preserve">If no compliant kitchen extract exists</t>
  </si>
  <si>
    <t xml:space="preserve">Confirm fee with Planning; landlord consent also needed.</t>
  </si>
  <si>
    <t xml:space="preserve">Advertisement consent (illuminated signage)</t>
  </si>
  <si>
    <t xml:space="preserve">If installing a new illuminated sign</t>
  </si>
  <si>
    <t xml:space="preserve">Confirm current fee with Planning.</t>
  </si>
  <si>
    <t xml:space="preserve">Building regulations, kitchen fit-out</t>
  </si>
  <si>
    <t xml:space="preserve">Building Control</t>
  </si>
  <si>
    <t xml:space="preserve">If structural, drainage or ventilation works</t>
  </si>
  <si>
    <t xml:space="preserve">Council Building Control or approved inspector; scales with scope of works.</t>
  </si>
  <si>
    <t xml:space="preserve">Grease management installation</t>
  </si>
  <si>
    <t xml:space="preserve">Severn Trent / EHO expectation</t>
  </si>
  <si>
    <t xml:space="preserve">If no grease trap present</t>
  </si>
  <si>
    <t xml:space="preserve">Commonly raised at first food hygiene inspection; check at viewing stage.</t>
  </si>
  <si>
    <t xml:space="preserve">Subtotal E, Premises-dependent</t>
  </si>
  <si>
    <t xml:space="preserve">SCENARIO TOTALS</t>
  </si>
  <si>
    <t xml:space="preserve">1 · Lean launch (Core + Advisory)</t>
  </si>
  <si>
    <t xml:space="preserve">2 · Lean launch + alcohol / after 11pm</t>
  </si>
  <si>
    <t xml:space="preserve">3 · Full build-out (all groups incl. worst-case premises)</t>
  </si>
  <si>
    <t xml:space="preserve">Legend: green fill = fee confirmed by Coventry Licensing (Jul 2026) · blue = still our estimate, to confirm (Food &amp; Safety team not yet replied) · yellow = enter your own figure. Notes marked ✓ carry confirmed detail; ⚠ flags a dependency.</t>
  </si>
  <si>
    <t xml:space="preserve">Biggest cost lever is Group E: leasing a unit previously used as a food business (Use Class E, extraction and grease infrastructure in place) takes worst-case one-off compliance from ~£8.7k down to ~£0.6k.</t>
  </si>
  <si>
    <t xml:space="preserve">Premises licence band assumes Band B (rateable value £4,301 to £33,000), the typical small city-centre unit, confirm the unit's RV before signing.</t>
  </si>
  <si>
    <t xml:space="preserve">Licensing confirmed (Jul 2026): at launch (no alcohol, closing by 11pm) NO premises licence is required. Low-level background recorded music is permitted with nothing needed from Licensing (the PPL PRS music licence is separate and non-council). Phase-2 premises-licence route: 28-day consultation, a pale-blue notice displayed at the premises for the full 28 days, and a newspaper advert published within 10 working days of the application being accepted.</t>
  </si>
  <si>
    <t xml:space="preserve">NAIJA DELIGHT: COUNCIL COMPLIANCE BUDGET · RECURRING COSTS</t>
  </si>
  <si>
    <t xml:space="preserve">Annual figures unless stated · council compliance only · Licensing fees confirmed Jul 2026 (green fill) · other figures still estimated (blue)</t>
  </si>
  <si>
    <t xml:space="preserve">Low (£/yr)</t>
  </si>
  <si>
    <t xml:space="preserve">High (£/yr)</t>
  </si>
  <si>
    <t xml:space="preserve">A. CORE, MANDATORY</t>
  </si>
  <si>
    <t xml:space="preserve">Business rates (NNDR)</t>
  </si>
  <si>
    <t xml:space="preserve">Council Revenues</t>
  </si>
  <si>
    <t xml:space="preserve">From occupation of the premises</t>
  </si>
  <si>
    <t xml:space="preserve">From Apr 2026: RHL small multiplier 38.2p/£ for RV &lt;£51k; Small Business Rate Relief gives 100% relief if RV ≤£12k, tapering to nil at £15k. Use the estimator below once the unit's RV is known.</t>
  </si>
  <si>
    <t xml:space="preserve">Commercial waste &amp; recycling contract</t>
  </si>
  <si>
    <t xml:space="preserve">Duty of care (council or private contractor)</t>
  </si>
  <si>
    <t xml:space="preserve">Always</t>
  </si>
  <si>
    <t xml:space="preserve">Assumes £15 to £40/week for a small restaurant; food waste stream included.</t>
  </si>
  <si>
    <t xml:space="preserve">Food hygiene training, refreshers &amp; new starters</t>
  </si>
  <si>
    <t xml:space="preserve">Ongoing</t>
  </si>
  <si>
    <t xml:space="preserve">Averaged per year; formal refresh ~every 3 years plus each new food handler.</t>
  </si>
  <si>
    <t xml:space="preserve">B. IF LICENSED (PHASE 2, ALCOHOL / AFTER 11PM)</t>
  </si>
  <si>
    <t xml:space="preserve">Premises licence annual fee</t>
  </si>
  <si>
    <t xml:space="preserve">Each year a premises licence is held</t>
  </si>
  <si>
    <t xml:space="preserve">✓ Confirmed annual fees: A £70 · B £180 · C £295 · D £320 · E £350. Band B (£180) most likely; range shown A to C.</t>
  </si>
  <si>
    <t xml:space="preserve">Subtotal B, Licensed</t>
  </si>
  <si>
    <t xml:space="preserve">C. IF OUTDOOR SEATING</t>
  </si>
  <si>
    <t xml:space="preserve">Pavement licence renewal</t>
  </si>
  <si>
    <t xml:space="preserve">Annually, if seating retained</t>
  </si>
  <si>
    <t xml:space="preserve">Renewal fee capped at £350 by statute.</t>
  </si>
  <si>
    <t xml:space="preserve">Subtotal C, Seating</t>
  </si>
  <si>
    <t xml:space="preserve">D. OPTIONAL</t>
  </si>
  <si>
    <t xml:space="preserve">Requested food hygiene re-rating visit</t>
  </si>
  <si>
    <t xml:space="preserve">Only if seeking an early re-score after inspection</t>
  </si>
  <si>
    <t xml:space="preserve">Confirm Coventry's charge, not needed if the first inspection scores 5.</t>
  </si>
  <si>
    <t xml:space="preserve">Ad-hoc advisory sessions</t>
  </si>
  <si>
    <t xml:space="preserve">As needed</t>
  </si>
  <si>
    <t xml:space="preserve">£99/hr incl. VAT.</t>
  </si>
  <si>
    <t xml:space="preserve">Subtotal D, Optional</t>
  </si>
  <si>
    <t xml:space="preserve">SCENARIO TOTALS (PER YEAR)</t>
  </si>
  <si>
    <t xml:space="preserve">1 · Lean year (Core only)</t>
  </si>
  <si>
    <t xml:space="preserve">2 · With premises licence</t>
  </si>
  <si>
    <t xml:space="preserve">3 · Full model (all groups)</t>
  </si>
  <si>
    <t xml:space="preserve">BUSINESS RATES ESTIMATOR, 2026/27</t>
  </si>
  <si>
    <t xml:space="preserve">Rateable value of chosen unit (£), enter here once known:</t>
  </si>
  <si>
    <t xml:space="preserve">Estimated annual business rates (RHL small multiplier + SBRR taper):</t>
  </si>
  <si>
    <t xml:space="preserve">SBRR: 100% relief at RV ≤£12,000 tapering to nil at £15,000; RHL small multiplier 0.382 applies to RV &lt;£51,000 from April 2026. Excludes any 1p transitional supplement, confirm the final figure with the council's Revenues team. Example value £13,500 shown; overwrite with the real RV.</t>
  </si>
  <si>
    <t xml:space="preserve">Scope: council compliance only. Excludes non-council statutory costs, HMRC/VAT, employers' liability insurance, fire risk assessment, PPL PRS music licence, ICO fee, Home Office sponsor licence, extension sheet available on request.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</si>
</sst>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£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2"/>
      <charset val="1"/>
    </font>
    <font>
      <i val="true"/>
      <sz val="9"/>
      <color rgb="FF444444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0"/>
      <color rgb="FF14351F"/>
      <name val="Arial"/>
      <family val="2"/>
      <charset val="1"/>
    </font>
    <font>
      <sz val="10"/>
      <name val="Arial"/>
      <family val="2"/>
      <charset val="1"/>
    </font>
    <font>
      <sz val="10"/>
      <color rgb="FF0000FF"/>
      <name val="Arial"/>
      <family val="2"/>
      <charset val="1"/>
    </font>
    <font>
      <b val="true"/>
      <sz val="10"/>
      <name val="Arial"/>
      <family val="2"/>
      <charset val="1"/>
    </font>
    <font>
      <i val="true"/>
      <sz val="8.5"/>
      <color rgb="FF555555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4351F"/>
        <bgColor rgb="FF333300"/>
      </patternFill>
    </fill>
    <fill>
      <patternFill patternType="solid">
        <fgColor rgb="FFD9A21B"/>
        <bgColor rgb="FFFFCC00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9A21B"/>
      <rgbColor rgb="FFFF6600"/>
      <rgbColor rgb="FF555555"/>
      <rgbColor rgb="FF969696"/>
      <rgbColor rgb="FF003366"/>
      <rgbColor rgb="FF339966"/>
      <rgbColor rgb="FF14351F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5" min="4" style="0" width="12"/>
    <col collapsed="false" customWidth="true" hidden="false" outlineLevel="0" max="6" min="6" style="0" width="58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4.2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4.2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4.25" hidden="false" customHeight="false" outlineLevel="0" collapsed="false">
      <c r="A5" s="4" t="s">
        <v>8</v>
      </c>
      <c r="B5" s="4"/>
      <c r="C5" s="4"/>
      <c r="D5" s="4"/>
      <c r="E5" s="4"/>
      <c r="F5" s="4"/>
    </row>
    <row r="6" customFormat="false" ht="31.5" hidden="false" customHeight="true" outlineLevel="0" collapsed="false">
      <c r="A6" s="5" t="s">
        <v>9</v>
      </c>
      <c r="B6" s="5" t="s">
        <v>10</v>
      </c>
      <c r="C6" s="5" t="s">
        <v>11</v>
      </c>
      <c r="D6" s="6" t="n">
        <v>0</v>
      </c>
      <c r="E6" s="6" t="n">
        <v>0</v>
      </c>
      <c r="F6" s="5" t="s">
        <v>12</v>
      </c>
    </row>
    <row r="7" customFormat="false" ht="31.5" hidden="false" customHeight="true" outlineLevel="0" collapsed="false">
      <c r="A7" s="5" t="s">
        <v>13</v>
      </c>
      <c r="B7" s="5" t="s">
        <v>14</v>
      </c>
      <c r="C7" s="5" t="s">
        <v>15</v>
      </c>
      <c r="D7" s="6" t="n">
        <v>60</v>
      </c>
      <c r="E7" s="6" t="n">
        <v>120</v>
      </c>
      <c r="F7" s="5" t="s">
        <v>16</v>
      </c>
    </row>
    <row r="8" customFormat="false" ht="31.5" hidden="false" customHeight="true" outlineLevel="0" collapsed="false">
      <c r="A8" s="5" t="s">
        <v>17</v>
      </c>
      <c r="B8" s="5" t="s">
        <v>10</v>
      </c>
      <c r="C8" s="5" t="s">
        <v>18</v>
      </c>
      <c r="D8" s="6" t="n">
        <v>0</v>
      </c>
      <c r="E8" s="6" t="n">
        <v>0</v>
      </c>
      <c r="F8" s="5" t="s">
        <v>19</v>
      </c>
    </row>
    <row r="9" customFormat="false" ht="14.25" hidden="false" customHeight="false" outlineLevel="0" collapsed="false">
      <c r="A9" s="7" t="s">
        <v>20</v>
      </c>
      <c r="B9" s="8"/>
      <c r="C9" s="8"/>
      <c r="D9" s="9" t="n">
        <f aca="false">SUM(D6:D8)</f>
        <v>60</v>
      </c>
      <c r="E9" s="9" t="n">
        <f aca="false">SUM(E6:E8)</f>
        <v>120</v>
      </c>
      <c r="F9" s="8"/>
    </row>
    <row r="10" customFormat="false" ht="14.25" hidden="false" customHeight="false" outlineLevel="0" collapsed="false">
      <c r="A10" s="4" t="s">
        <v>21</v>
      </c>
      <c r="B10" s="4"/>
      <c r="C10" s="4"/>
      <c r="D10" s="4"/>
      <c r="E10" s="4"/>
      <c r="F10" s="4"/>
    </row>
    <row r="11" customFormat="false" ht="31.5" hidden="false" customHeight="true" outlineLevel="0" collapsed="false">
      <c r="A11" s="5" t="s">
        <v>22</v>
      </c>
      <c r="B11" s="5" t="s">
        <v>10</v>
      </c>
      <c r="C11" s="5" t="s">
        <v>23</v>
      </c>
      <c r="D11" s="6" t="n">
        <v>248</v>
      </c>
      <c r="E11" s="6" t="n">
        <v>248</v>
      </c>
      <c r="F11" s="5" t="s">
        <v>24</v>
      </c>
    </row>
    <row r="12" customFormat="false" ht="31.5" hidden="false" customHeight="true" outlineLevel="0" collapsed="false">
      <c r="A12" s="5" t="s">
        <v>25</v>
      </c>
      <c r="B12" s="5" t="s">
        <v>10</v>
      </c>
      <c r="C12" s="5" t="s">
        <v>26</v>
      </c>
      <c r="D12" s="6" t="n">
        <v>0</v>
      </c>
      <c r="E12" s="6" t="n">
        <v>99</v>
      </c>
      <c r="F12" s="5" t="s">
        <v>27</v>
      </c>
    </row>
    <row r="13" customFormat="false" ht="73.5" hidden="false" customHeight="true" outlineLevel="0" collapsed="false">
      <c r="A13" s="5" t="s">
        <v>28</v>
      </c>
      <c r="B13" s="5" t="s">
        <v>29</v>
      </c>
      <c r="C13" s="5" t="s">
        <v>30</v>
      </c>
      <c r="D13" s="6" t="n">
        <v>0</v>
      </c>
      <c r="E13" s="6" t="n">
        <v>360</v>
      </c>
      <c r="F13" s="5" t="s">
        <v>31</v>
      </c>
    </row>
    <row r="14" customFormat="false" ht="14.25" hidden="false" customHeight="false" outlineLevel="0" collapsed="false">
      <c r="A14" s="7" t="s">
        <v>32</v>
      </c>
      <c r="B14" s="8"/>
      <c r="C14" s="8"/>
      <c r="D14" s="9" t="n">
        <f aca="false">SUM(D11:D13)</f>
        <v>248</v>
      </c>
      <c r="E14" s="9" t="n">
        <f aca="false">SUM(E11:E13)</f>
        <v>707</v>
      </c>
      <c r="F14" s="8"/>
    </row>
    <row r="15" customFormat="false" ht="14.25" hidden="false" customHeight="false" outlineLevel="0" collapsed="false">
      <c r="A15" s="4" t="s">
        <v>33</v>
      </c>
      <c r="B15" s="4"/>
      <c r="C15" s="4"/>
      <c r="D15" s="4"/>
      <c r="E15" s="4"/>
      <c r="F15" s="4"/>
    </row>
    <row r="16" customFormat="false" ht="60" hidden="false" customHeight="true" outlineLevel="0" collapsed="false">
      <c r="A16" s="5" t="s">
        <v>34</v>
      </c>
      <c r="B16" s="5" t="s">
        <v>29</v>
      </c>
      <c r="C16" s="5" t="s">
        <v>35</v>
      </c>
      <c r="D16" s="10" t="n">
        <v>100</v>
      </c>
      <c r="E16" s="10" t="n">
        <v>315</v>
      </c>
      <c r="F16" s="5" t="s">
        <v>36</v>
      </c>
    </row>
    <row r="17" customFormat="false" ht="45.75" hidden="false" customHeight="true" outlineLevel="0" collapsed="false">
      <c r="A17" s="5" t="s">
        <v>37</v>
      </c>
      <c r="B17" s="5" t="s">
        <v>38</v>
      </c>
      <c r="C17" s="5" t="s">
        <v>39</v>
      </c>
      <c r="D17" s="6" t="n">
        <v>200</v>
      </c>
      <c r="E17" s="6" t="n">
        <v>400</v>
      </c>
      <c r="F17" s="5" t="s">
        <v>40</v>
      </c>
    </row>
    <row r="18" customFormat="false" ht="60" hidden="false" customHeight="true" outlineLevel="0" collapsed="false">
      <c r="A18" s="5" t="s">
        <v>41</v>
      </c>
      <c r="B18" s="5" t="s">
        <v>29</v>
      </c>
      <c r="C18" s="5" t="s">
        <v>42</v>
      </c>
      <c r="D18" s="10" t="n">
        <v>37</v>
      </c>
      <c r="E18" s="10" t="n">
        <v>37</v>
      </c>
      <c r="F18" s="5" t="s">
        <v>43</v>
      </c>
    </row>
    <row r="19" customFormat="false" ht="45.75" hidden="false" customHeight="true" outlineLevel="0" collapsed="false">
      <c r="A19" s="5" t="s">
        <v>44</v>
      </c>
      <c r="B19" s="5" t="s">
        <v>45</v>
      </c>
      <c r="C19" s="5" t="s">
        <v>46</v>
      </c>
      <c r="D19" s="6" t="n">
        <v>40</v>
      </c>
      <c r="E19" s="6" t="n">
        <v>110</v>
      </c>
      <c r="F19" s="5" t="s">
        <v>47</v>
      </c>
    </row>
    <row r="20" customFormat="false" ht="14.25" hidden="false" customHeight="false" outlineLevel="0" collapsed="false">
      <c r="A20" s="7" t="s">
        <v>48</v>
      </c>
      <c r="B20" s="8"/>
      <c r="C20" s="8"/>
      <c r="D20" s="9" t="n">
        <f aca="false">SUM(D16:D19)</f>
        <v>377</v>
      </c>
      <c r="E20" s="9" t="n">
        <f aca="false">SUM(E16:E19)</f>
        <v>862</v>
      </c>
      <c r="F20" s="8"/>
    </row>
    <row r="21" customFormat="false" ht="14.25" hidden="false" customHeight="false" outlineLevel="0" collapsed="false">
      <c r="A21" s="4" t="s">
        <v>49</v>
      </c>
      <c r="B21" s="4"/>
      <c r="C21" s="4"/>
      <c r="D21" s="4"/>
      <c r="E21" s="4"/>
      <c r="F21" s="4"/>
    </row>
    <row r="22" customFormat="false" ht="60" hidden="false" customHeight="true" outlineLevel="0" collapsed="false">
      <c r="A22" s="5" t="s">
        <v>50</v>
      </c>
      <c r="B22" s="5" t="s">
        <v>51</v>
      </c>
      <c r="C22" s="5" t="s">
        <v>52</v>
      </c>
      <c r="D22" s="6" t="n">
        <v>100</v>
      </c>
      <c r="E22" s="6" t="n">
        <v>500</v>
      </c>
      <c r="F22" s="5" t="s">
        <v>53</v>
      </c>
    </row>
    <row r="23" customFormat="false" ht="14.25" hidden="false" customHeight="false" outlineLevel="0" collapsed="false">
      <c r="A23" s="7" t="s">
        <v>54</v>
      </c>
      <c r="B23" s="8"/>
      <c r="C23" s="8"/>
      <c r="D23" s="9" t="n">
        <f aca="false">SUM(D22:D22)</f>
        <v>100</v>
      </c>
      <c r="E23" s="9" t="n">
        <f aca="false">SUM(E22:E22)</f>
        <v>500</v>
      </c>
      <c r="F23" s="8"/>
    </row>
    <row r="24" customFormat="false" ht="14.25" hidden="false" customHeight="false" outlineLevel="0" collapsed="false">
      <c r="A24" s="4" t="s">
        <v>55</v>
      </c>
      <c r="B24" s="4"/>
      <c r="C24" s="4"/>
      <c r="D24" s="4"/>
      <c r="E24" s="4"/>
      <c r="F24" s="4"/>
    </row>
    <row r="25" customFormat="false" ht="45.75" hidden="false" customHeight="true" outlineLevel="0" collapsed="false">
      <c r="A25" s="5" t="s">
        <v>56</v>
      </c>
      <c r="B25" s="5" t="s">
        <v>57</v>
      </c>
      <c r="C25" s="5" t="s">
        <v>58</v>
      </c>
      <c r="D25" s="6" t="n">
        <v>500</v>
      </c>
      <c r="E25" s="6" t="n">
        <v>650</v>
      </c>
      <c r="F25" s="5" t="s">
        <v>59</v>
      </c>
    </row>
    <row r="26" customFormat="false" ht="31.5" hidden="false" customHeight="true" outlineLevel="0" collapsed="false">
      <c r="A26" s="5" t="s">
        <v>60</v>
      </c>
      <c r="B26" s="5" t="s">
        <v>57</v>
      </c>
      <c r="C26" s="5" t="s">
        <v>61</v>
      </c>
      <c r="D26" s="6" t="n">
        <v>300</v>
      </c>
      <c r="E26" s="6" t="n">
        <v>650</v>
      </c>
      <c r="F26" s="5" t="s">
        <v>62</v>
      </c>
    </row>
    <row r="27" customFormat="false" ht="31.5" hidden="false" customHeight="true" outlineLevel="0" collapsed="false">
      <c r="A27" s="5" t="s">
        <v>63</v>
      </c>
      <c r="B27" s="5" t="s">
        <v>57</v>
      </c>
      <c r="C27" s="5" t="s">
        <v>64</v>
      </c>
      <c r="D27" s="6" t="n">
        <v>165</v>
      </c>
      <c r="E27" s="6" t="n">
        <v>200</v>
      </c>
      <c r="F27" s="5" t="s">
        <v>65</v>
      </c>
    </row>
    <row r="28" customFormat="false" ht="31.5" hidden="false" customHeight="true" outlineLevel="0" collapsed="false">
      <c r="A28" s="5" t="s">
        <v>66</v>
      </c>
      <c r="B28" s="5" t="s">
        <v>67</v>
      </c>
      <c r="C28" s="5" t="s">
        <v>68</v>
      </c>
      <c r="D28" s="6" t="n">
        <v>500</v>
      </c>
      <c r="E28" s="6" t="n">
        <v>2000</v>
      </c>
      <c r="F28" s="5" t="s">
        <v>69</v>
      </c>
    </row>
    <row r="29" customFormat="false" ht="31.5" hidden="false" customHeight="true" outlineLevel="0" collapsed="false">
      <c r="A29" s="5" t="s">
        <v>70</v>
      </c>
      <c r="B29" s="5" t="s">
        <v>71</v>
      </c>
      <c r="C29" s="5" t="s">
        <v>72</v>
      </c>
      <c r="D29" s="6" t="n">
        <v>1000</v>
      </c>
      <c r="E29" s="6" t="n">
        <v>3000</v>
      </c>
      <c r="F29" s="5" t="s">
        <v>73</v>
      </c>
    </row>
    <row r="30" customFormat="false" ht="14.25" hidden="false" customHeight="false" outlineLevel="0" collapsed="false">
      <c r="A30" s="7" t="s">
        <v>74</v>
      </c>
      <c r="B30" s="8"/>
      <c r="C30" s="8"/>
      <c r="D30" s="9" t="n">
        <f aca="false">SUM(D25:D29)</f>
        <v>2465</v>
      </c>
      <c r="E30" s="9" t="n">
        <f aca="false">SUM(E25:E29)</f>
        <v>6500</v>
      </c>
      <c r="F30" s="8"/>
    </row>
    <row r="32" customFormat="false" ht="14.25" hidden="false" customHeight="false" outlineLevel="0" collapsed="false">
      <c r="A32" s="4" t="s">
        <v>75</v>
      </c>
      <c r="B32" s="4"/>
      <c r="C32" s="4"/>
      <c r="D32" s="4"/>
      <c r="E32" s="4"/>
      <c r="F32" s="4"/>
    </row>
    <row r="33" customFormat="false" ht="14.25" hidden="false" customHeight="false" outlineLevel="0" collapsed="false">
      <c r="A33" s="11" t="s">
        <v>76</v>
      </c>
      <c r="B33" s="11"/>
      <c r="C33" s="11"/>
      <c r="D33" s="12" t="n">
        <f aca="false">D9+D14</f>
        <v>308</v>
      </c>
      <c r="E33" s="12" t="n">
        <f aca="false">E9+E14</f>
        <v>827</v>
      </c>
      <c r="F33" s="13"/>
    </row>
    <row r="34" customFormat="false" ht="14.25" hidden="false" customHeight="false" outlineLevel="0" collapsed="false">
      <c r="A34" s="11" t="s">
        <v>77</v>
      </c>
      <c r="B34" s="11"/>
      <c r="C34" s="11"/>
      <c r="D34" s="12" t="n">
        <f aca="false">D9+D14+D20</f>
        <v>685</v>
      </c>
      <c r="E34" s="12" t="n">
        <f aca="false">E9+E14+E20</f>
        <v>1689</v>
      </c>
      <c r="F34" s="13"/>
    </row>
    <row r="35" customFormat="false" ht="14.25" hidden="false" customHeight="false" outlineLevel="0" collapsed="false">
      <c r="A35" s="11" t="s">
        <v>78</v>
      </c>
      <c r="B35" s="11"/>
      <c r="C35" s="11"/>
      <c r="D35" s="12" t="n">
        <f aca="false">D9+D14+D20+D23+D30</f>
        <v>3250</v>
      </c>
      <c r="E35" s="12" t="n">
        <f aca="false">E9+E14+E20+E23+E30</f>
        <v>8689</v>
      </c>
      <c r="F35" s="13"/>
    </row>
    <row r="37" customFormat="false" ht="28.5" hidden="false" customHeight="true" outlineLevel="0" collapsed="false">
      <c r="A37" s="14" t="s">
        <v>79</v>
      </c>
      <c r="B37" s="14"/>
      <c r="C37" s="14"/>
      <c r="D37" s="14"/>
      <c r="E37" s="14"/>
      <c r="F37" s="14"/>
    </row>
    <row r="38" customFormat="false" ht="28.5" hidden="false" customHeight="true" outlineLevel="0" collapsed="false">
      <c r="A38" s="14" t="s">
        <v>80</v>
      </c>
      <c r="B38" s="14"/>
      <c r="C38" s="14"/>
      <c r="D38" s="14"/>
      <c r="E38" s="14"/>
      <c r="F38" s="14"/>
    </row>
    <row r="39" customFormat="false" ht="15.75" hidden="false" customHeight="true" outlineLevel="0" collapsed="false">
      <c r="A39" s="14" t="s">
        <v>81</v>
      </c>
      <c r="B39" s="14"/>
      <c r="C39" s="14"/>
      <c r="D39" s="14"/>
      <c r="E39" s="14"/>
      <c r="F39" s="14"/>
    </row>
    <row r="40" customFormat="false" ht="42" hidden="false" customHeight="true" outlineLevel="0" collapsed="false">
      <c r="A40" s="14" t="s">
        <v>82</v>
      </c>
      <c r="B40" s="14"/>
      <c r="C40" s="14"/>
      <c r="D40" s="14"/>
      <c r="E40" s="14"/>
      <c r="F40" s="14"/>
    </row>
  </sheetData>
  <mergeCells count="15">
    <mergeCell ref="A1:F1"/>
    <mergeCell ref="A2:F2"/>
    <mergeCell ref="A5:F5"/>
    <mergeCell ref="A10:F10"/>
    <mergeCell ref="A15:F15"/>
    <mergeCell ref="A21:F21"/>
    <mergeCell ref="A24:F24"/>
    <mergeCell ref="A32:F32"/>
    <mergeCell ref="A33:C33"/>
    <mergeCell ref="A34:C34"/>
    <mergeCell ref="A35:C35"/>
    <mergeCell ref="A37:F37"/>
    <mergeCell ref="A38:F38"/>
    <mergeCell ref="A39:F39"/>
    <mergeCell ref="A40:F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5" min="4" style="0" width="12"/>
    <col collapsed="false" customWidth="true" hidden="false" outlineLevel="0" max="6" min="6" style="0" width="58"/>
  </cols>
  <sheetData>
    <row r="1" customFormat="false" ht="24" hidden="false" customHeight="true" outlineLevel="0" collapsed="false">
      <c r="A1" s="1" t="s">
        <v>83</v>
      </c>
      <c r="B1" s="1"/>
      <c r="C1" s="1"/>
      <c r="D1" s="1"/>
      <c r="E1" s="1"/>
      <c r="F1" s="1"/>
    </row>
    <row r="2" customFormat="false" ht="14.25" hidden="false" customHeight="false" outlineLevel="0" collapsed="false">
      <c r="A2" s="2" t="s">
        <v>84</v>
      </c>
      <c r="B2" s="2"/>
      <c r="C2" s="2"/>
      <c r="D2" s="2"/>
      <c r="E2" s="2"/>
      <c r="F2" s="2"/>
    </row>
    <row r="4" customFormat="false" ht="14.2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85</v>
      </c>
      <c r="E4" s="3" t="s">
        <v>86</v>
      </c>
      <c r="F4" s="3" t="s">
        <v>7</v>
      </c>
    </row>
    <row r="5" customFormat="false" ht="14.25" hidden="false" customHeight="false" outlineLevel="0" collapsed="false">
      <c r="A5" s="4" t="s">
        <v>87</v>
      </c>
      <c r="B5" s="4"/>
      <c r="C5" s="4"/>
      <c r="D5" s="4"/>
      <c r="E5" s="4"/>
      <c r="F5" s="4"/>
    </row>
    <row r="6" customFormat="false" ht="60" hidden="false" customHeight="true" outlineLevel="0" collapsed="false">
      <c r="A6" s="5" t="s">
        <v>88</v>
      </c>
      <c r="B6" s="5" t="s">
        <v>89</v>
      </c>
      <c r="C6" s="5" t="s">
        <v>90</v>
      </c>
      <c r="D6" s="6" t="n">
        <v>0</v>
      </c>
      <c r="E6" s="6" t="n">
        <v>8000</v>
      </c>
      <c r="F6" s="5" t="s">
        <v>91</v>
      </c>
    </row>
    <row r="7" customFormat="false" ht="45.75" hidden="false" customHeight="true" outlineLevel="0" collapsed="false">
      <c r="A7" s="5" t="s">
        <v>92</v>
      </c>
      <c r="B7" s="5" t="s">
        <v>93</v>
      </c>
      <c r="C7" s="5" t="s">
        <v>94</v>
      </c>
      <c r="D7" s="6" t="n">
        <v>780</v>
      </c>
      <c r="E7" s="6" t="n">
        <v>2080</v>
      </c>
      <c r="F7" s="5" t="s">
        <v>95</v>
      </c>
    </row>
    <row r="8" customFormat="false" ht="31.5" hidden="false" customHeight="true" outlineLevel="0" collapsed="false">
      <c r="A8" s="5" t="s">
        <v>96</v>
      </c>
      <c r="B8" s="5" t="s">
        <v>14</v>
      </c>
      <c r="C8" s="5" t="s">
        <v>97</v>
      </c>
      <c r="D8" s="6" t="n">
        <v>20</v>
      </c>
      <c r="E8" s="6" t="n">
        <v>60</v>
      </c>
      <c r="F8" s="5" t="s">
        <v>98</v>
      </c>
    </row>
    <row r="9" customFormat="false" ht="14.25" hidden="false" customHeight="false" outlineLevel="0" collapsed="false">
      <c r="A9" s="7" t="s">
        <v>20</v>
      </c>
      <c r="B9" s="8"/>
      <c r="C9" s="8"/>
      <c r="D9" s="9" t="n">
        <f aca="false">SUM(D6:D8)</f>
        <v>800</v>
      </c>
      <c r="E9" s="9" t="n">
        <f aca="false">SUM(E6:E8)</f>
        <v>10140</v>
      </c>
      <c r="F9" s="8"/>
    </row>
    <row r="10" customFormat="false" ht="14.25" hidden="false" customHeight="false" outlineLevel="0" collapsed="false">
      <c r="A10" s="4" t="s">
        <v>99</v>
      </c>
      <c r="B10" s="4"/>
      <c r="C10" s="4"/>
      <c r="D10" s="4"/>
      <c r="E10" s="4"/>
      <c r="F10" s="4"/>
    </row>
    <row r="11" customFormat="false" ht="45.75" hidden="false" customHeight="true" outlineLevel="0" collapsed="false">
      <c r="A11" s="5" t="s">
        <v>100</v>
      </c>
      <c r="B11" s="5" t="s">
        <v>29</v>
      </c>
      <c r="C11" s="5" t="s">
        <v>101</v>
      </c>
      <c r="D11" s="10" t="n">
        <v>70</v>
      </c>
      <c r="E11" s="10" t="n">
        <v>295</v>
      </c>
      <c r="F11" s="5" t="s">
        <v>102</v>
      </c>
    </row>
    <row r="12" customFormat="false" ht="14.25" hidden="false" customHeight="false" outlineLevel="0" collapsed="false">
      <c r="A12" s="7" t="s">
        <v>103</v>
      </c>
      <c r="B12" s="8"/>
      <c r="C12" s="8"/>
      <c r="D12" s="9" t="n">
        <f aca="false">SUM(D11:D11)</f>
        <v>70</v>
      </c>
      <c r="E12" s="9" t="n">
        <f aca="false">SUM(E11:E11)</f>
        <v>295</v>
      </c>
      <c r="F12" s="8"/>
    </row>
    <row r="13" customFormat="false" ht="14.25" hidden="false" customHeight="false" outlineLevel="0" collapsed="false">
      <c r="A13" s="4" t="s">
        <v>104</v>
      </c>
      <c r="B13" s="4"/>
      <c r="C13" s="4"/>
      <c r="D13" s="4"/>
      <c r="E13" s="4"/>
      <c r="F13" s="4"/>
    </row>
    <row r="14" customFormat="false" ht="18" hidden="false" customHeight="true" outlineLevel="0" collapsed="false">
      <c r="A14" s="5" t="s">
        <v>105</v>
      </c>
      <c r="B14" s="5" t="s">
        <v>29</v>
      </c>
      <c r="C14" s="5" t="s">
        <v>106</v>
      </c>
      <c r="D14" s="6" t="n">
        <v>100</v>
      </c>
      <c r="E14" s="6" t="n">
        <v>350</v>
      </c>
      <c r="F14" s="5" t="s">
        <v>107</v>
      </c>
    </row>
    <row r="15" customFormat="false" ht="14.25" hidden="false" customHeight="false" outlineLevel="0" collapsed="false">
      <c r="A15" s="7" t="s">
        <v>108</v>
      </c>
      <c r="B15" s="8"/>
      <c r="C15" s="8"/>
      <c r="D15" s="9" t="n">
        <f aca="false">SUM(D14:D14)</f>
        <v>100</v>
      </c>
      <c r="E15" s="9" t="n">
        <f aca="false">SUM(E14:E14)</f>
        <v>350</v>
      </c>
      <c r="F15" s="8"/>
    </row>
    <row r="16" customFormat="false" ht="14.25" hidden="false" customHeight="false" outlineLevel="0" collapsed="false">
      <c r="A16" s="4" t="s">
        <v>109</v>
      </c>
      <c r="B16" s="4"/>
      <c r="C16" s="4"/>
      <c r="D16" s="4"/>
      <c r="E16" s="4"/>
      <c r="F16" s="4"/>
    </row>
    <row r="17" customFormat="false" ht="31.5" hidden="false" customHeight="true" outlineLevel="0" collapsed="false">
      <c r="A17" s="5" t="s">
        <v>110</v>
      </c>
      <c r="B17" s="5" t="s">
        <v>10</v>
      </c>
      <c r="C17" s="5" t="s">
        <v>111</v>
      </c>
      <c r="D17" s="6" t="n">
        <v>0</v>
      </c>
      <c r="E17" s="6" t="n">
        <v>250</v>
      </c>
      <c r="F17" s="5" t="s">
        <v>112</v>
      </c>
    </row>
    <row r="18" customFormat="false" ht="18" hidden="false" customHeight="true" outlineLevel="0" collapsed="false">
      <c r="A18" s="5" t="s">
        <v>113</v>
      </c>
      <c r="B18" s="5" t="s">
        <v>10</v>
      </c>
      <c r="C18" s="5" t="s">
        <v>114</v>
      </c>
      <c r="D18" s="6" t="n">
        <v>0</v>
      </c>
      <c r="E18" s="6" t="n">
        <v>99</v>
      </c>
      <c r="F18" s="5" t="s">
        <v>115</v>
      </c>
    </row>
    <row r="19" customFormat="false" ht="14.25" hidden="false" customHeight="false" outlineLevel="0" collapsed="false">
      <c r="A19" s="7" t="s">
        <v>116</v>
      </c>
      <c r="B19" s="8"/>
      <c r="C19" s="8"/>
      <c r="D19" s="9" t="n">
        <f aca="false">SUM(D17:D18)</f>
        <v>0</v>
      </c>
      <c r="E19" s="9" t="n">
        <f aca="false">SUM(E17:E18)</f>
        <v>349</v>
      </c>
      <c r="F19" s="8"/>
    </row>
    <row r="21" customFormat="false" ht="14.25" hidden="false" customHeight="false" outlineLevel="0" collapsed="false">
      <c r="A21" s="4" t="s">
        <v>117</v>
      </c>
      <c r="B21" s="4"/>
      <c r="C21" s="4"/>
      <c r="D21" s="4"/>
      <c r="E21" s="4"/>
      <c r="F21" s="4"/>
    </row>
    <row r="22" customFormat="false" ht="14.25" hidden="false" customHeight="false" outlineLevel="0" collapsed="false">
      <c r="A22" s="11" t="s">
        <v>118</v>
      </c>
      <c r="B22" s="11"/>
      <c r="C22" s="11"/>
      <c r="D22" s="12" t="n">
        <f aca="false">D9</f>
        <v>800</v>
      </c>
      <c r="E22" s="12" t="n">
        <f aca="false">E9</f>
        <v>10140</v>
      </c>
      <c r="F22" s="13"/>
    </row>
    <row r="23" customFormat="false" ht="14.25" hidden="false" customHeight="false" outlineLevel="0" collapsed="false">
      <c r="A23" s="11" t="s">
        <v>119</v>
      </c>
      <c r="B23" s="11"/>
      <c r="C23" s="11"/>
      <c r="D23" s="12" t="n">
        <f aca="false">D9+D12</f>
        <v>870</v>
      </c>
      <c r="E23" s="12" t="n">
        <f aca="false">E9+E12</f>
        <v>10435</v>
      </c>
      <c r="F23" s="13"/>
    </row>
    <row r="24" customFormat="false" ht="14.25" hidden="false" customHeight="false" outlineLevel="0" collapsed="false">
      <c r="A24" s="11" t="s">
        <v>120</v>
      </c>
      <c r="B24" s="11"/>
      <c r="C24" s="11"/>
      <c r="D24" s="12" t="n">
        <f aca="false">D9+D12+D15+D19</f>
        <v>970</v>
      </c>
      <c r="E24" s="12" t="n">
        <f aca="false">E9+E12+E15+E19</f>
        <v>11134</v>
      </c>
      <c r="F24" s="13"/>
    </row>
    <row r="26" customFormat="false" ht="14.25" hidden="false" customHeight="false" outlineLevel="0" collapsed="false">
      <c r="A26" s="4" t="s">
        <v>121</v>
      </c>
      <c r="B26" s="4"/>
      <c r="C26" s="4"/>
      <c r="D26" s="4"/>
      <c r="E26" s="4"/>
      <c r="F26" s="4"/>
    </row>
    <row r="27" customFormat="false" ht="24.75" hidden="false" customHeight="true" outlineLevel="0" collapsed="false">
      <c r="A27" s="15" t="s">
        <v>122</v>
      </c>
      <c r="D27" s="16" t="n">
        <v>13500</v>
      </c>
    </row>
    <row r="28" customFormat="false" ht="25.5" hidden="false" customHeight="true" outlineLevel="0" collapsed="false">
      <c r="A28" s="17" t="s">
        <v>123</v>
      </c>
      <c r="D28" s="12" t="n">
        <f aca="false">IF(D27&lt;=12000,0,IF(D27&lt;15000,D27*0.382*((D27-12000)/3000),D27*0.382))</f>
        <v>2578.5</v>
      </c>
    </row>
    <row r="29" customFormat="false" ht="28.5" hidden="false" customHeight="true" outlineLevel="0" collapsed="false">
      <c r="A29" s="14" t="s">
        <v>124</v>
      </c>
      <c r="B29" s="14"/>
      <c r="C29" s="14"/>
      <c r="D29" s="14"/>
      <c r="E29" s="14"/>
      <c r="F29" s="14"/>
    </row>
    <row r="31" customFormat="false" ht="28.5" hidden="false" customHeight="true" outlineLevel="0" collapsed="false">
      <c r="A31" s="14" t="s">
        <v>125</v>
      </c>
      <c r="B31" s="14"/>
      <c r="C31" s="14"/>
      <c r="D31" s="14"/>
      <c r="E31" s="14"/>
      <c r="F31" s="14"/>
    </row>
  </sheetData>
  <mergeCells count="13">
    <mergeCell ref="A1:F1"/>
    <mergeCell ref="A2:F2"/>
    <mergeCell ref="A5:F5"/>
    <mergeCell ref="A10:F10"/>
    <mergeCell ref="A13:F13"/>
    <mergeCell ref="A16:F16"/>
    <mergeCell ref="A21:F21"/>
    <mergeCell ref="A22:C22"/>
    <mergeCell ref="A23:C23"/>
    <mergeCell ref="A24:C24"/>
    <mergeCell ref="A26:F26"/>
    <mergeCell ref="A29:F29"/>
    <mergeCell ref="A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2026-07-16T14:01:13Z</dcterms:created>
  <dc:creator>Ade Adelaja</dc:creator>
  <dc:description>Cleaned file: personal names removed. Council fees are public figures.</dc:description>
  <dc:language>en-US</dc:language>
  <cp:lastModifiedBy>Ade Adelaja</cp:lastModifiedBy>
  <dcterms:modified xsi:type="dcterms:W3CDTF">2026-10-14T10:30:00Z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