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tables/table2.xml" ContentType="application/vnd.openxmlformats-officedocument.spreadsheetml.table+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udit Summary" sheetId="2" state="visible" r:id="rId4"/>
    <sheet name="Rolling Pipeline" sheetId="3" state="visible" r:id="rId5"/>
    <sheet name="Pipeline Compliance" sheetId="4" state="visible" r:id="rId6"/>
    <sheet name="Refresh Directions" sheetId="5" state="visible" r:id="rId7"/>
  </sheets>
  <definedNames>
    <definedName function="false" hidden="false" name="ReportDate" vbProcedure="false">'Audit Summary'!$B$4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<sst xmlns="http://schemas.openxmlformats.org/spreadsheetml/2006/main" count="2263" uniqueCount="851">
  <si>
    <t xml:space="preserve">Pipeline Data Compliance: cleaned rebuild</t>
  </si>
  <si>
    <t xml:space="preserve">Cleaned file: real names, figures and records replaced with synthetic data of the same structure.</t>
  </si>
  <si>
    <t xml:space="preserve">What this file does</t>
  </si>
  <si>
    <t xml:space="preserve">Audits new business opportunity records so that account name, US SIC code and DUNS number agree between the CRM and D&amp;B Hoovers, the trusted source. The original ran over 711 records, 693 accounts, 51 owners, 7 SAP regions and 9 fiscal quarters. This copy holds 150 synthetic audited records and a 60 row rolling pipeline extract with the same columns and the same logic.</t>
  </si>
  <si>
    <t xml:space="preserve">How it works</t>
  </si>
  <si>
    <t xml:space="preserve">•  Rolling Pipeline: the refreshed Salesforce query (rolling four quarters). Each row looks itself up in the compliance table: if the Opportunity ID is not there yet it is flagged New and needs auditing.</t>
  </si>
  <si>
    <t xml:space="preserve">•  Pipeline Compliance: the audited table. Every record is checked against D&amp;B for name, SIC and DUNS, and its close date is checked against the report date. Each row ends in an issue count and a status.</t>
  </si>
  <si>
    <t xml:space="preserve">•  Audit Summary: one row per SAP region with record, account and owner counts, every issue type, and the share of records that are clean. The global row is calculated from the totals.</t>
  </si>
  <si>
    <t xml:space="preserve">•  Refresh Directions: the refresh and audit routine handed over with the file.</t>
  </si>
  <si>
    <t xml:space="preserve">Fixes made while cleaning (found in the original)</t>
  </si>
  <si>
    <t xml:space="preserve">•  Days to close showed a broken reference error on every row of the compliance table; it now subtracts the report date from the close date.</t>
  </si>
  <si>
    <t xml:space="preserve">•  The close date range formula referred to a row 37 rows below its own; it now reads its own row.</t>
  </si>
  <si>
    <t xml:space="preserve">•  The original used XLOOKUP. This version uses INDEX and MATCH so it calculates in every Excel version and in LibreOffice. The logic is unchanged.</t>
  </si>
  <si>
    <t xml:space="preserve">Inputs</t>
  </si>
  <si>
    <t xml:space="preserve">Yellow cells with blue text are inputs. The report date on the Audit Summary sheet drives every days to close calculation; set it to =TODAY() for live use.</t>
  </si>
  <si>
    <t xml:space="preserve">Data</t>
  </si>
  <si>
    <t xml:space="preserve">All account names, owners, IDs, DUNS numbers and values are invented. Region mix, stage mix and the share of records with issues were set to resemble the original so the summary behaves realistically.</t>
  </si>
  <si>
    <t xml:space="preserve">Pipeline compliance audit by SAP region</t>
  </si>
  <si>
    <t xml:space="preserve">Counts from the Pipeline Compliance table. Global row is calculated from totals, not averaged.</t>
  </si>
  <si>
    <t xml:space="preserve">Report date</t>
  </si>
  <si>
    <t xml:space="preserve">SAP Region</t>
  </si>
  <si>
    <t xml:space="preserve">Records</t>
  </si>
  <si>
    <t xml:space="preserve">Accounts</t>
  </si>
  <si>
    <t xml:space="preserve">Owners</t>
  </si>
  <si>
    <t xml:space="preserve">Name mismatch</t>
  </si>
  <si>
    <t xml:space="preserve">No D&amp;B match</t>
  </si>
  <si>
    <t xml:space="preserve">SIC missing or wrong</t>
  </si>
  <si>
    <t xml:space="preserve">DUNS missing or wrong</t>
  </si>
  <si>
    <t xml:space="preserve">Past close date</t>
  </si>
  <si>
    <t xml:space="preserve">Clean records</t>
  </si>
  <si>
    <t xml:space="preserve">% clean</t>
  </si>
  <si>
    <t xml:space="preserve">New in rolling extract</t>
  </si>
  <si>
    <t xml:space="preserve">MEE</t>
  </si>
  <si>
    <t xml:space="preserve">EMEA NORTH</t>
  </si>
  <si>
    <t xml:space="preserve">EMEA SOUTH</t>
  </si>
  <si>
    <t xml:space="preserve">NA</t>
  </si>
  <si>
    <t xml:space="preserve">LATAM</t>
  </si>
  <si>
    <t xml:space="preserve">GCN</t>
  </si>
  <si>
    <t xml:space="preserve">APJ</t>
  </si>
  <si>
    <t xml:space="preserve">Global</t>
  </si>
  <si>
    <t xml:space="preserve">Accounts and owners are distinct counts (SUMPRODUCT over COUNTIFS), so an account with several opportunities is counted once.</t>
  </si>
  <si>
    <t xml:space="preserve">Synthetic data. The original audit covered 711 records, 693 accounts and 51 owners across these 7 regions.</t>
  </si>
  <si>
    <t xml:space="preserve">Account ID</t>
  </si>
  <si>
    <t xml:space="preserve">Opportunity ID</t>
  </si>
  <si>
    <t xml:space="preserve">Office</t>
  </si>
  <si>
    <t xml:space="preserve">Opportunity Name</t>
  </si>
  <si>
    <t xml:space="preserve">Opportunity Owner</t>
  </si>
  <si>
    <t xml:space="preserve">Account Name</t>
  </si>
  <si>
    <t xml:space="preserve">Stage</t>
  </si>
  <si>
    <t xml:space="preserve">Created Date</t>
  </si>
  <si>
    <t xml:space="preserve">Close Date</t>
  </si>
  <si>
    <t xml:space="preserve">Fiscal Period</t>
  </si>
  <si>
    <t xml:space="preserve">ACV (EUR)</t>
  </si>
  <si>
    <t xml:space="preserve">Account Name (D&amp;B lookup)</t>
  </si>
  <si>
    <t xml:space="preserve">New Opportunities</t>
  </si>
  <si>
    <t xml:space="preserve">Days to close</t>
  </si>
  <si>
    <t xml:space="preserve">Close date range</t>
  </si>
  <si>
    <t xml:space="preserve">001SYN000131</t>
  </si>
  <si>
    <t xml:space="preserve">006SYN000000131</t>
  </si>
  <si>
    <t xml:space="preserve">HK</t>
  </si>
  <si>
    <t xml:space="preserve">12/Core-Adv-Omni/156K/Quill</t>
  </si>
  <si>
    <t xml:space="preserve">Owner GC01</t>
  </si>
  <si>
    <t xml:space="preserve">Quill Fashion Limited</t>
  </si>
  <si>
    <t xml:space="preserve">Solution presentation</t>
  </si>
  <si>
    <t xml:space="preserve">Q2-2024</t>
  </si>
  <si>
    <t xml:space="preserve">001SYN000077</t>
  </si>
  <si>
    <t xml:space="preserve">006SYN000000077</t>
  </si>
  <si>
    <t xml:space="preserve">US</t>
  </si>
  <si>
    <t xml:space="preserve">36/Core+Ecom/21K/Marlow</t>
  </si>
  <si>
    <t xml:space="preserve">Owner NA02</t>
  </si>
  <si>
    <t xml:space="preserve">Marlow Optics Inc.</t>
  </si>
  <si>
    <t xml:space="preserve">Commercial agreement</t>
  </si>
  <si>
    <t xml:space="preserve">Q4-2025</t>
  </si>
  <si>
    <t xml:space="preserve">001SYN000026</t>
  </si>
  <si>
    <t xml:space="preserve">006SYN000000026</t>
  </si>
  <si>
    <t xml:space="preserve">DE</t>
  </si>
  <si>
    <t xml:space="preserve">12/Essentials+Mob/268K/Carrow</t>
  </si>
  <si>
    <t xml:space="preserve">Owner ME07</t>
  </si>
  <si>
    <t xml:space="preserve">Carrow Fashion GmbH</t>
  </si>
  <si>
    <t xml:space="preserve">001SYN001015</t>
  </si>
  <si>
    <t xml:space="preserve">006SYN000001015</t>
  </si>
  <si>
    <t xml:space="preserve">AU</t>
  </si>
  <si>
    <t xml:space="preserve">12/Core+Omni/124K/Vesta</t>
  </si>
  <si>
    <t xml:space="preserve">Owner AP03</t>
  </si>
  <si>
    <t xml:space="preserve">Vesta Fashion Pty Ltd</t>
  </si>
  <si>
    <t xml:space="preserve">Q1-2025</t>
  </si>
  <si>
    <t xml:space="preserve">001SYN001001</t>
  </si>
  <si>
    <t xml:space="preserve">006SYN000001001</t>
  </si>
  <si>
    <t xml:space="preserve">BR</t>
  </si>
  <si>
    <t xml:space="preserve">12/Core+Ecom/47K/Juniper</t>
  </si>
  <si>
    <t xml:space="preserve">Owner LA04</t>
  </si>
  <si>
    <t xml:space="preserve">Juniper Home Ltda</t>
  </si>
  <si>
    <t xml:space="preserve">Q4-2024</t>
  </si>
  <si>
    <t xml:space="preserve">001SYN000033</t>
  </si>
  <si>
    <t xml:space="preserve">006SYN000000033</t>
  </si>
  <si>
    <t xml:space="preserve">IT</t>
  </si>
  <si>
    <t xml:space="preserve">24/Core+Omni/171K/Calder</t>
  </si>
  <si>
    <t xml:space="preserve">Owner ES02</t>
  </si>
  <si>
    <t xml:space="preserve">Calder Retail S.p.A.</t>
  </si>
  <si>
    <t xml:space="preserve">Closed Won</t>
  </si>
  <si>
    <t xml:space="preserve">Q3-2024</t>
  </si>
  <si>
    <t xml:space="preserve">001SYN000105</t>
  </si>
  <si>
    <t xml:space="preserve">006SYN000000105</t>
  </si>
  <si>
    <t xml:space="preserve">CH</t>
  </si>
  <si>
    <t xml:space="preserve">12/Essentials+Mob/83K/Tavish</t>
  </si>
  <si>
    <t xml:space="preserve">Owner ME02</t>
  </si>
  <si>
    <t xml:space="preserve">Tavish Outdoor AG</t>
  </si>
  <si>
    <t xml:space="preserve">Business chemistry &amp; scoping</t>
  </si>
  <si>
    <t xml:space="preserve">001SYN001012</t>
  </si>
  <si>
    <t xml:space="preserve">006SYN000001012</t>
  </si>
  <si>
    <t xml:space="preserve">36/Essentials+Mob/191K/Tavish</t>
  </si>
  <si>
    <t xml:space="preserve">Owner NA03</t>
  </si>
  <si>
    <t xml:space="preserve">Tavish Living Inc.</t>
  </si>
  <si>
    <t xml:space="preserve">Q3-2025</t>
  </si>
  <si>
    <t xml:space="preserve">001SYN001000</t>
  </si>
  <si>
    <t xml:space="preserve">006SYN000001000</t>
  </si>
  <si>
    <t xml:space="preserve">IE</t>
  </si>
  <si>
    <t xml:space="preserve">24/Core-Adv-Omni/52K/Larch</t>
  </si>
  <si>
    <t xml:space="preserve">Owner EN01</t>
  </si>
  <si>
    <t xml:space="preserve">Larch Pharma Ltd</t>
  </si>
  <si>
    <t xml:space="preserve">001SYN000093</t>
  </si>
  <si>
    <t xml:space="preserve">006SYN000000093</t>
  </si>
  <si>
    <t xml:space="preserve">AT</t>
  </si>
  <si>
    <t xml:space="preserve">36/Core+Ecom/412K/Brook</t>
  </si>
  <si>
    <t xml:space="preserve">Owner ME01</t>
  </si>
  <si>
    <t xml:space="preserve">Brook Optics GmbH</t>
  </si>
  <si>
    <t xml:space="preserve">001SYN001013</t>
  </si>
  <si>
    <t xml:space="preserve">006SYN000001013</t>
  </si>
  <si>
    <t xml:space="preserve">12/Core-Adv-Omni/37K/Dunmore</t>
  </si>
  <si>
    <t xml:space="preserve">Owner NA06</t>
  </si>
  <si>
    <t xml:space="preserve">Dunmore Media Inc.</t>
  </si>
  <si>
    <t xml:space="preserve">001SYN000065</t>
  </si>
  <si>
    <t xml:space="preserve">006SYN000000065</t>
  </si>
  <si>
    <t xml:space="preserve">36/Core+Ecom+Omni/26K/Arden</t>
  </si>
  <si>
    <t xml:space="preserve">Owner ME04</t>
  </si>
  <si>
    <t xml:space="preserve">Arden Motors GmbH</t>
  </si>
  <si>
    <t xml:space="preserve">001SYN001007</t>
  </si>
  <si>
    <t xml:space="preserve">006SYN000001007</t>
  </si>
  <si>
    <t xml:space="preserve">DK</t>
  </si>
  <si>
    <t xml:space="preserve">36/Core+Loyalty/214K/Oriel</t>
  </si>
  <si>
    <t xml:space="preserve">Owner EN02</t>
  </si>
  <si>
    <t xml:space="preserve">Oriel Outdoor A/S</t>
  </si>
  <si>
    <t xml:space="preserve">001SYN001017</t>
  </si>
  <si>
    <t xml:space="preserve">006SYN000001017</t>
  </si>
  <si>
    <t xml:space="preserve">AE</t>
  </si>
  <si>
    <t xml:space="preserve">24/Core-Adv-Omni/95K/Arden</t>
  </si>
  <si>
    <t xml:space="preserve">Owner ES04</t>
  </si>
  <si>
    <t xml:space="preserve">Arden Foods LLC</t>
  </si>
  <si>
    <t xml:space="preserve">001SYN000070</t>
  </si>
  <si>
    <t xml:space="preserve">006SYN000000070</t>
  </si>
  <si>
    <t xml:space="preserve">CO</t>
  </si>
  <si>
    <t xml:space="preserve">24/Core+Omni/46K/Penrose</t>
  </si>
  <si>
    <t xml:space="preserve">Owner LA02</t>
  </si>
  <si>
    <t xml:space="preserve">Penrose Home S.A.S.</t>
  </si>
  <si>
    <t xml:space="preserve">001SYN001008</t>
  </si>
  <si>
    <t xml:space="preserve">006SYN000001008</t>
  </si>
  <si>
    <t xml:space="preserve">12/Core+Ecom/218K/Thorne</t>
  </si>
  <si>
    <t xml:space="preserve">Owner ME09</t>
  </si>
  <si>
    <t xml:space="preserve">Thorne Retail GmbH</t>
  </si>
  <si>
    <t xml:space="preserve">001SYN000087</t>
  </si>
  <si>
    <t xml:space="preserve">006SYN000000087</t>
  </si>
  <si>
    <t xml:space="preserve">CA</t>
  </si>
  <si>
    <t xml:space="preserve">12/Core+Ecom/168K/Arden</t>
  </si>
  <si>
    <t xml:space="preserve">Arden Fashion Inc.</t>
  </si>
  <si>
    <t xml:space="preserve">001SYN000064</t>
  </si>
  <si>
    <t xml:space="preserve">006SYN000000064</t>
  </si>
  <si>
    <t xml:space="preserve">CZ</t>
  </si>
  <si>
    <t xml:space="preserve">12/Core-Adv-Omni/473K/Sable</t>
  </si>
  <si>
    <t xml:space="preserve">Sable Outdoor s.r.o.</t>
  </si>
  <si>
    <t xml:space="preserve">001SYN000133</t>
  </si>
  <si>
    <t xml:space="preserve">006SYN000000133</t>
  </si>
  <si>
    <t xml:space="preserve">SE</t>
  </si>
  <si>
    <t xml:space="preserve">36/Core+Ecom/31K/Merrow</t>
  </si>
  <si>
    <t xml:space="preserve">Merrow Living AB</t>
  </si>
  <si>
    <t xml:space="preserve">001SYN000050</t>
  </si>
  <si>
    <t xml:space="preserve">006SYN000000050</t>
  </si>
  <si>
    <t xml:space="preserve">12/Core+Ecom/128K/Quill</t>
  </si>
  <si>
    <t xml:space="preserve">Quill Outdoor Ltd</t>
  </si>
  <si>
    <t xml:space="preserve">Tech agreement</t>
  </si>
  <si>
    <t xml:space="preserve">001SYN001014</t>
  </si>
  <si>
    <t xml:space="preserve">006SYN000001014</t>
  </si>
  <si>
    <t xml:space="preserve">12/Essentials+Mob/237K/Arden</t>
  </si>
  <si>
    <t xml:space="preserve">Owner ME03</t>
  </si>
  <si>
    <t xml:space="preserve">Arden Media GmbH</t>
  </si>
  <si>
    <t xml:space="preserve">001SYN000101</t>
  </si>
  <si>
    <t xml:space="preserve">006SYN000000101</t>
  </si>
  <si>
    <t xml:space="preserve">12/Core-Adv-Omni/335K/Wexley</t>
  </si>
  <si>
    <t xml:space="preserve">Owner ES06</t>
  </si>
  <si>
    <t xml:space="preserve">Wexley Pharma S.p.A.</t>
  </si>
  <si>
    <t xml:space="preserve">001SYN000053</t>
  </si>
  <si>
    <t xml:space="preserve">006SYN000000053</t>
  </si>
  <si>
    <t xml:space="preserve">TR</t>
  </si>
  <si>
    <t xml:space="preserve">12/Core+Omni/397K/Arden</t>
  </si>
  <si>
    <t xml:space="preserve">Owner ES03</t>
  </si>
  <si>
    <t xml:space="preserve">Arden Living A.S.</t>
  </si>
  <si>
    <t xml:space="preserve">001SYN000001</t>
  </si>
  <si>
    <t xml:space="preserve">006SYN000000001</t>
  </si>
  <si>
    <t xml:space="preserve">12/Core+Ecom/156K/Holloway</t>
  </si>
  <si>
    <t xml:space="preserve">Holloway Travel A.S.</t>
  </si>
  <si>
    <t xml:space="preserve">001SYN000031</t>
  </si>
  <si>
    <t xml:space="preserve">006SYN000000031</t>
  </si>
  <si>
    <t xml:space="preserve">12/Core+Loyalty/20K/Carrow</t>
  </si>
  <si>
    <t xml:space="preserve">Carrow Foods Inc.</t>
  </si>
  <si>
    <t xml:space="preserve">Q2-2025</t>
  </si>
  <si>
    <t xml:space="preserve">001SYN001016</t>
  </si>
  <si>
    <t xml:space="preserve">006SYN000001016</t>
  </si>
  <si>
    <t xml:space="preserve">36/Core+Ecom+Omni/204K/Redfern</t>
  </si>
  <si>
    <t xml:space="preserve">Redfern Outdoor S.A.S.</t>
  </si>
  <si>
    <t xml:space="preserve">001SYN000004</t>
  </si>
  <si>
    <t xml:space="preserve">006SYN000000004</t>
  </si>
  <si>
    <t xml:space="preserve">24/Core-Adv-Omni/21K/Dunmore</t>
  </si>
  <si>
    <t xml:space="preserve">Owner ME06</t>
  </si>
  <si>
    <t xml:space="preserve">Dunmore Sport s.r.o.</t>
  </si>
  <si>
    <t xml:space="preserve">001SYN001010</t>
  </si>
  <si>
    <t xml:space="preserve">006SYN000001010</t>
  </si>
  <si>
    <t xml:space="preserve">JP</t>
  </si>
  <si>
    <t xml:space="preserve">36/Core+Ecom+Omni/146K/Linden</t>
  </si>
  <si>
    <t xml:space="preserve">Owner AP01</t>
  </si>
  <si>
    <t xml:space="preserve">Linden Motors K.K.</t>
  </si>
  <si>
    <t xml:space="preserve">001SYN001006</t>
  </si>
  <si>
    <t xml:space="preserve">006SYN000001006</t>
  </si>
  <si>
    <t xml:space="preserve">12/Core+Omni/218K/Dunmore</t>
  </si>
  <si>
    <t xml:space="preserve">Owner EN06</t>
  </si>
  <si>
    <t xml:space="preserve">Dunmore Retail AB</t>
  </si>
  <si>
    <t xml:space="preserve">Contracting</t>
  </si>
  <si>
    <t xml:space="preserve">001SYN000029</t>
  </si>
  <si>
    <t xml:space="preserve">006SYN000000029</t>
  </si>
  <si>
    <t xml:space="preserve">CN</t>
  </si>
  <si>
    <t xml:space="preserve">36/Core+Omni/31K/Dunmore</t>
  </si>
  <si>
    <t xml:space="preserve">Dunmore Beauty Co., Ltd</t>
  </si>
  <si>
    <t xml:space="preserve">001SYN000061</t>
  </si>
  <si>
    <t xml:space="preserve">006SYN000000061</t>
  </si>
  <si>
    <t xml:space="preserve">12/Core+Omni/34K/Sable</t>
  </si>
  <si>
    <t xml:space="preserve">Sable Media A/S</t>
  </si>
  <si>
    <t xml:space="preserve">001SYN000088</t>
  </si>
  <si>
    <t xml:space="preserve">006SYN000000088</t>
  </si>
  <si>
    <t xml:space="preserve">24/Essentials+Mob/24K/Corvale</t>
  </si>
  <si>
    <t xml:space="preserve">Owner GC02</t>
  </si>
  <si>
    <t xml:space="preserve">Corvale Brands Limited</t>
  </si>
  <si>
    <t xml:space="preserve">001SYN000149</t>
  </si>
  <si>
    <t xml:space="preserve">006SYN000000149</t>
  </si>
  <si>
    <t xml:space="preserve">36/Core+Ecom/25K/North</t>
  </si>
  <si>
    <t xml:space="preserve">North Wine GmbH</t>
  </si>
  <si>
    <t xml:space="preserve">001SYN000052</t>
  </si>
  <si>
    <t xml:space="preserve">006SYN000000052</t>
  </si>
  <si>
    <t xml:space="preserve">12/Essentials+Mob/293K/Halden</t>
  </si>
  <si>
    <t xml:space="preserve">Halden Travel GmbH</t>
  </si>
  <si>
    <t xml:space="preserve">001SYN001003</t>
  </si>
  <si>
    <t xml:space="preserve">006SYN000001003</t>
  </si>
  <si>
    <t xml:space="preserve">24/Core-Adv-Omni/91K/Halden</t>
  </si>
  <si>
    <t xml:space="preserve">Owner NA01</t>
  </si>
  <si>
    <t xml:space="preserve">Halden Retail Inc.</t>
  </si>
  <si>
    <t xml:space="preserve">001SYN000092</t>
  </si>
  <si>
    <t xml:space="preserve">006SYN000000092</t>
  </si>
  <si>
    <t xml:space="preserve">36/Core+Loyalty/58K/Alder</t>
  </si>
  <si>
    <t xml:space="preserve">Alder Pharma Inc.</t>
  </si>
  <si>
    <t xml:space="preserve">001SYN000150</t>
  </si>
  <si>
    <t xml:space="preserve">006SYN000000150</t>
  </si>
  <si>
    <t xml:space="preserve">12/Core+Omni/496K/Kestrel</t>
  </si>
  <si>
    <t xml:space="preserve">Kestrel Media Inc.</t>
  </si>
  <si>
    <t xml:space="preserve">001SYN000107</t>
  </si>
  <si>
    <t xml:space="preserve">006SYN000000107</t>
  </si>
  <si>
    <t xml:space="preserve">SG</t>
  </si>
  <si>
    <t xml:space="preserve">36/Core+Loyalty/24K/Oriel</t>
  </si>
  <si>
    <t xml:space="preserve">Owner AP02</t>
  </si>
  <si>
    <t xml:space="preserve">Oriel Foods Pte Ltd</t>
  </si>
  <si>
    <t xml:space="preserve">001SYN001019</t>
  </si>
  <si>
    <t xml:space="preserve">006SYN000001019</t>
  </si>
  <si>
    <t xml:space="preserve">24/Core+Ecom+Omni/513K/Corvale</t>
  </si>
  <si>
    <t xml:space="preserve">Corvale Fashion Inc.</t>
  </si>
  <si>
    <t xml:space="preserve">Q1-2026</t>
  </si>
  <si>
    <t xml:space="preserve">001SYN000063</t>
  </si>
  <si>
    <t xml:space="preserve">006SYN000000063</t>
  </si>
  <si>
    <t xml:space="preserve">24/Core+Omni/84K/Oriel</t>
  </si>
  <si>
    <t xml:space="preserve">Oriel Pharma Pty Ltd</t>
  </si>
  <si>
    <t xml:space="preserve">001SYN000054</t>
  </si>
  <si>
    <t xml:space="preserve">006SYN000000054</t>
  </si>
  <si>
    <t xml:space="preserve">12/Essentials+Mob/214K/Merrow</t>
  </si>
  <si>
    <t xml:space="preserve">Owner ES05</t>
  </si>
  <si>
    <t xml:space="preserve">Merrow Wine LLC</t>
  </si>
  <si>
    <t xml:space="preserve">001SYN000048</t>
  </si>
  <si>
    <t xml:space="preserve">006SYN000000048</t>
  </si>
  <si>
    <t xml:space="preserve">12/Core-Adv-Omni/26K/Holloway</t>
  </si>
  <si>
    <t xml:space="preserve">Holloway Outdoor S.p.A.</t>
  </si>
  <si>
    <t xml:space="preserve">001SYN000055</t>
  </si>
  <si>
    <t xml:space="preserve">006SYN000000055</t>
  </si>
  <si>
    <t xml:space="preserve">ES</t>
  </si>
  <si>
    <t xml:space="preserve">12/Core-Adv-Omni/40K/Tavish</t>
  </si>
  <si>
    <t xml:space="preserve">Tavish Pharma S.L.</t>
  </si>
  <si>
    <t xml:space="preserve">001SYN000147</t>
  </si>
  <si>
    <t xml:space="preserve">006SYN000000147</t>
  </si>
  <si>
    <t xml:space="preserve">PL</t>
  </si>
  <si>
    <t xml:space="preserve">12/Core+Loyalty/105K/North</t>
  </si>
  <si>
    <t xml:space="preserve">North Travel Sp. z o.o.</t>
  </si>
  <si>
    <t xml:space="preserve">001SYN001005</t>
  </si>
  <si>
    <t xml:space="preserve">006SYN000001005</t>
  </si>
  <si>
    <t xml:space="preserve">24/Core+Loyalty/26K/Redfern</t>
  </si>
  <si>
    <t xml:space="preserve">Redfern Optics AG</t>
  </si>
  <si>
    <t xml:space="preserve">001SYN000069</t>
  </si>
  <si>
    <t xml:space="preserve">006SYN000000069</t>
  </si>
  <si>
    <t xml:space="preserve">36/Core+Ecom/264K/Kestrel</t>
  </si>
  <si>
    <t xml:space="preserve">Kestrel Fashion Inc.</t>
  </si>
  <si>
    <t xml:space="preserve">001SYN000003</t>
  </si>
  <si>
    <t xml:space="preserve">006SYN000000003</t>
  </si>
  <si>
    <t xml:space="preserve">24/Core-Adv-Omni/44K/Larch</t>
  </si>
  <si>
    <t xml:space="preserve">Owner EN07</t>
  </si>
  <si>
    <t xml:space="preserve">Larch Fashion A/S</t>
  </si>
  <si>
    <t xml:space="preserve">001SYN000008</t>
  </si>
  <si>
    <t xml:space="preserve">006SYN000000008</t>
  </si>
  <si>
    <t xml:space="preserve">24/Core+Omni/57K/Quill</t>
  </si>
  <si>
    <t xml:space="preserve">Quill Retail GmbH</t>
  </si>
  <si>
    <t xml:space="preserve">001SYN000136</t>
  </si>
  <si>
    <t xml:space="preserve">006SYN000000136</t>
  </si>
  <si>
    <t xml:space="preserve">12/Core+Ecom+Omni/122K/Merrow</t>
  </si>
  <si>
    <t xml:space="preserve">Merrow Fashion Inc.</t>
  </si>
  <si>
    <t xml:space="preserve">001SYN000032</t>
  </si>
  <si>
    <t xml:space="preserve">006SYN000000032</t>
  </si>
  <si>
    <t xml:space="preserve">24/Core+Ecom+Omni/102K/Carrow</t>
  </si>
  <si>
    <t xml:space="preserve">Carrow Retail Pty Ltd</t>
  </si>
  <si>
    <t xml:space="preserve">001SYN001018</t>
  </si>
  <si>
    <t xml:space="preserve">006SYN000001018</t>
  </si>
  <si>
    <t xml:space="preserve">24/Core+Ecom/386K/Tavish</t>
  </si>
  <si>
    <t xml:space="preserve">Tavish Wine GmbH</t>
  </si>
  <si>
    <t xml:space="preserve">001SYN001002</t>
  </si>
  <si>
    <t xml:space="preserve">006SYN000001002</t>
  </si>
  <si>
    <t xml:space="preserve">36/Essentials+Mob/120K/Holloway</t>
  </si>
  <si>
    <t xml:space="preserve">Owner ES01</t>
  </si>
  <si>
    <t xml:space="preserve">Holloway Fashion S.p.A.</t>
  </si>
  <si>
    <t xml:space="preserve">001SYN000041</t>
  </si>
  <si>
    <t xml:space="preserve">006SYN000000041</t>
  </si>
  <si>
    <t xml:space="preserve">UK</t>
  </si>
  <si>
    <t xml:space="preserve">12/Core+Omni/124K/Quill</t>
  </si>
  <si>
    <t xml:space="preserve">Quill Wine Ltd</t>
  </si>
  <si>
    <t xml:space="preserve">001SYN000035</t>
  </si>
  <si>
    <t xml:space="preserve">006SYN000000035</t>
  </si>
  <si>
    <t xml:space="preserve">36/Core+Ecom/110K/North</t>
  </si>
  <si>
    <t xml:space="preserve">North Pharma LLC</t>
  </si>
  <si>
    <t xml:space="preserve">001SYN000116</t>
  </si>
  <si>
    <t xml:space="preserve">006SYN000000116</t>
  </si>
  <si>
    <t xml:space="preserve">12/Essentials+Mob/21K/Brook</t>
  </si>
  <si>
    <t xml:space="preserve">Brook Motors Ltd</t>
  </si>
  <si>
    <t xml:space="preserve">001SYN001009</t>
  </si>
  <si>
    <t xml:space="preserve">006SYN000001009</t>
  </si>
  <si>
    <t xml:space="preserve">36/Core+Omni/202K/Brook</t>
  </si>
  <si>
    <t xml:space="preserve">Owner ME05</t>
  </si>
  <si>
    <t xml:space="preserve">Brook Fashion GmbH</t>
  </si>
  <si>
    <t xml:space="preserve">001SYN001004</t>
  </si>
  <si>
    <t xml:space="preserve">006SYN000001004</t>
  </si>
  <si>
    <t xml:space="preserve">24/Essentials+Mob/22K/Fenwick</t>
  </si>
  <si>
    <t xml:space="preserve">Fenwick Beauty Pte Ltd</t>
  </si>
  <si>
    <t xml:space="preserve">001SYN000018</t>
  </si>
  <si>
    <t xml:space="preserve">006SYN000000018</t>
  </si>
  <si>
    <t xml:space="preserve">12/Essentials+Mob/56K/Larch</t>
  </si>
  <si>
    <t xml:space="preserve">Larch Optics Inc.</t>
  </si>
  <si>
    <t xml:space="preserve">001SYN000009</t>
  </si>
  <si>
    <t xml:space="preserve">006SYN000000009</t>
  </si>
  <si>
    <t xml:space="preserve">12/Core-Adv-Omni/34K/Carrow</t>
  </si>
  <si>
    <t xml:space="preserve">Carrow Motors Co., Ltd</t>
  </si>
  <si>
    <t xml:space="preserve">001SYN001011</t>
  </si>
  <si>
    <t xml:space="preserve">006SYN000001011</t>
  </si>
  <si>
    <t xml:space="preserve">NL</t>
  </si>
  <si>
    <t xml:space="preserve">36/Core+Omni/487K/Arden</t>
  </si>
  <si>
    <t xml:space="preserve">Arden Brands B.V.</t>
  </si>
  <si>
    <t xml:space="preserve">Account Name (CRM)</t>
  </si>
  <si>
    <t xml:space="preserve">Account Name (D&amp;B)</t>
  </si>
  <si>
    <t xml:space="preserve">Industry</t>
  </si>
  <si>
    <t xml:space="preserve">US SIC4 (CRM)</t>
  </si>
  <si>
    <t xml:space="preserve">US SIC4 (D&amp;B)</t>
  </si>
  <si>
    <t xml:space="preserve">DUNS (CRM)</t>
  </si>
  <si>
    <t xml:space="preserve">DUNS (D&amp;B)</t>
  </si>
  <si>
    <t xml:space="preserve">Name check</t>
  </si>
  <si>
    <t xml:space="preserve">SIC check</t>
  </si>
  <si>
    <t xml:space="preserve">DUNS check</t>
  </si>
  <si>
    <t xml:space="preserve">Issues</t>
  </si>
  <si>
    <t xml:space="preserve">Audit status</t>
  </si>
  <si>
    <t xml:space="preserve">Media</t>
  </si>
  <si>
    <t xml:space="preserve">001SYN000002</t>
  </si>
  <si>
    <t xml:space="preserve">006SYN000000002</t>
  </si>
  <si>
    <t xml:space="preserve">24/Core+Loyalty/78K/Calder</t>
  </si>
  <si>
    <t xml:space="preserve">Owner ME08</t>
  </si>
  <si>
    <t xml:space="preserve">Calder Travel GmbH</t>
  </si>
  <si>
    <t xml:space="preserve">Consumer Products</t>
  </si>
  <si>
    <t xml:space="preserve">Financial Services</t>
  </si>
  <si>
    <t xml:space="preserve">001SYN000005</t>
  </si>
  <si>
    <t xml:space="preserve">006SYN000000005</t>
  </si>
  <si>
    <t xml:space="preserve">24/Core-Adv-Omni/98K/Penrose</t>
  </si>
  <si>
    <t xml:space="preserve">Penrose Wine S.p.A.</t>
  </si>
  <si>
    <t xml:space="preserve">Automotive</t>
  </si>
  <si>
    <t xml:space="preserve">001SYN000006</t>
  </si>
  <si>
    <t xml:space="preserve">006SYN000000006</t>
  </si>
  <si>
    <t xml:space="preserve">36/Core-Adv-Omni/210K/Quill</t>
  </si>
  <si>
    <t xml:space="preserve">Quill Home GmbH</t>
  </si>
  <si>
    <t xml:space="preserve">001SYN000007</t>
  </si>
  <si>
    <t xml:space="preserve">006SYN000000007</t>
  </si>
  <si>
    <t xml:space="preserve">12/Core+Loyalty/130K/Redfern</t>
  </si>
  <si>
    <t xml:space="preserve">Redfern Living B.V.</t>
  </si>
  <si>
    <t xml:space="preserve">Travel &amp; Hospitality</t>
  </si>
  <si>
    <t xml:space="preserve">001SYN000010</t>
  </si>
  <si>
    <t xml:space="preserve">006SYN000000010</t>
  </si>
  <si>
    <t xml:space="preserve">24/Core+Ecom/278K/Tavish</t>
  </si>
  <si>
    <t xml:space="preserve">Tavish Travel Sp. z o.o.</t>
  </si>
  <si>
    <t xml:space="preserve">001SYN000011</t>
  </si>
  <si>
    <t xml:space="preserve">006SYN000000011</t>
  </si>
  <si>
    <t xml:space="preserve">36/Essentials+Mob/100K/Marlow</t>
  </si>
  <si>
    <t xml:space="preserve">Marlow Brands A.S.</t>
  </si>
  <si>
    <t xml:space="preserve">Marlow Brands A.S. Group</t>
  </si>
  <si>
    <t xml:space="preserve">eCommerce</t>
  </si>
  <si>
    <t xml:space="preserve">001SYN000012</t>
  </si>
  <si>
    <t xml:space="preserve">006SYN000000012</t>
  </si>
  <si>
    <t xml:space="preserve">12/Core-Adv-Omni/329K/Fenwick</t>
  </si>
  <si>
    <t xml:space="preserve">Fenwick Sport Sp. z o.o.</t>
  </si>
  <si>
    <t xml:space="preserve">001SYN000013</t>
  </si>
  <si>
    <t xml:space="preserve">006SYN000000013</t>
  </si>
  <si>
    <t xml:space="preserve">12/Core-Adv-Omni/78K/Alder</t>
  </si>
  <si>
    <t xml:space="preserve">Alder Foods B.V.</t>
  </si>
  <si>
    <t xml:space="preserve">001SYN000014</t>
  </si>
  <si>
    <t xml:space="preserve">006SYN000000014</t>
  </si>
  <si>
    <t xml:space="preserve">12/Core+Loyalty/198K/Holloway</t>
  </si>
  <si>
    <t xml:space="preserve">Holloway Pharma Pty Ltd</t>
  </si>
  <si>
    <t xml:space="preserve">Retail</t>
  </si>
  <si>
    <t xml:space="preserve">001SYN000015</t>
  </si>
  <si>
    <t xml:space="preserve">006SYN000000015</t>
  </si>
  <si>
    <t xml:space="preserve">24/Core+Ecom+Omni/66K/Corvale</t>
  </si>
  <si>
    <t xml:space="preserve">Corvale Motors S.L.</t>
  </si>
  <si>
    <t xml:space="preserve">001SYN000016</t>
  </si>
  <si>
    <t xml:space="preserve">006SYN000000016</t>
  </si>
  <si>
    <t xml:space="preserve">MX</t>
  </si>
  <si>
    <t xml:space="preserve">36/Essentials+Mob/53K/Merrow</t>
  </si>
  <si>
    <t xml:space="preserve">Merrow Sport S.A. de C.V.</t>
  </si>
  <si>
    <t xml:space="preserve">001SYN000017</t>
  </si>
  <si>
    <t xml:space="preserve">006SYN000000017</t>
  </si>
  <si>
    <t xml:space="preserve">24/Core+Ecom/53K/Oriel</t>
  </si>
  <si>
    <t xml:space="preserve">Owner EN05</t>
  </si>
  <si>
    <t xml:space="preserve">Oriel Media B.V.</t>
  </si>
  <si>
    <t xml:space="preserve">Oriel Media BV</t>
  </si>
  <si>
    <t xml:space="preserve">001SYN000019</t>
  </si>
  <si>
    <t xml:space="preserve">006SYN000000019</t>
  </si>
  <si>
    <t xml:space="preserve">12/Core+Omni/224K/Arden</t>
  </si>
  <si>
    <t xml:space="preserve">Arden Optics Inc.</t>
  </si>
  <si>
    <t xml:space="preserve">001SYN000020</t>
  </si>
  <si>
    <t xml:space="preserve">006SYN000000020</t>
  </si>
  <si>
    <t xml:space="preserve">36/Essentials+Mob/87K/Dunmore</t>
  </si>
  <si>
    <t xml:space="preserve">Dunmore Home Co., Ltd</t>
  </si>
  <si>
    <t xml:space="preserve">001SYN000021</t>
  </si>
  <si>
    <t xml:space="preserve">006SYN000000021</t>
  </si>
  <si>
    <t xml:space="preserve">12/Core+Ecom+Omni/50K/Marlow</t>
  </si>
  <si>
    <t xml:space="preserve">Owner EN03</t>
  </si>
  <si>
    <t xml:space="preserve">Marlow Travel AB</t>
  </si>
  <si>
    <t xml:space="preserve">001SYN000022</t>
  </si>
  <si>
    <t xml:space="preserve">006SYN000000022</t>
  </si>
  <si>
    <t xml:space="preserve">AR</t>
  </si>
  <si>
    <t xml:space="preserve">24/Essentials+Mob/162K/Fenwick</t>
  </si>
  <si>
    <t xml:space="preserve">Owner LA03</t>
  </si>
  <si>
    <t xml:space="preserve">Fenwick Brands S.A.</t>
  </si>
  <si>
    <t xml:space="preserve">001SYN000023</t>
  </si>
  <si>
    <t xml:space="preserve">006SYN000000023</t>
  </si>
  <si>
    <t xml:space="preserve">24/Core+Ecom/269K/North</t>
  </si>
  <si>
    <t xml:space="preserve">North Fashion GmbH</t>
  </si>
  <si>
    <t xml:space="preserve">Q1-2024</t>
  </si>
  <si>
    <t xml:space="preserve">001SYN000024</t>
  </si>
  <si>
    <t xml:space="preserve">006SYN000000024</t>
  </si>
  <si>
    <t xml:space="preserve">24/Core+Ecom+Omni/37K/Penrose</t>
  </si>
  <si>
    <t xml:space="preserve">Penrose Pharma LLC</t>
  </si>
  <si>
    <t xml:space="preserve">Penrose Pharma LLC Group</t>
  </si>
  <si>
    <t xml:space="preserve">001SYN000025</t>
  </si>
  <si>
    <t xml:space="preserve">006SYN000000025</t>
  </si>
  <si>
    <t xml:space="preserve">36/Core-Adv-Omni/116K/North</t>
  </si>
  <si>
    <t xml:space="preserve">North Beauty A/S</t>
  </si>
  <si>
    <t xml:space="preserve">Healthcare</t>
  </si>
  <si>
    <t xml:space="preserve">001SYN000027</t>
  </si>
  <si>
    <t xml:space="preserve">006SYN000000027</t>
  </si>
  <si>
    <t xml:space="preserve">12/Core+Loyalty/268K/Elstree</t>
  </si>
  <si>
    <t xml:space="preserve">Elstree Brands AG</t>
  </si>
  <si>
    <t xml:space="preserve">001SYN000028</t>
  </si>
  <si>
    <t xml:space="preserve">006SYN000000028</t>
  </si>
  <si>
    <t xml:space="preserve">36/Core+Ecom+Omni/51K/Penrose</t>
  </si>
  <si>
    <t xml:space="preserve">Penrose Media Pty Ltd</t>
  </si>
  <si>
    <t xml:space="preserve">001SYN000030</t>
  </si>
  <si>
    <t xml:space="preserve">006SYN000000030</t>
  </si>
  <si>
    <t xml:space="preserve">12/Essentials+Mob/70K/Linden</t>
  </si>
  <si>
    <t xml:space="preserve">Linden Living A.S.</t>
  </si>
  <si>
    <t xml:space="preserve">001SYN000034</t>
  </si>
  <si>
    <t xml:space="preserve">006SYN000000034</t>
  </si>
  <si>
    <t xml:space="preserve">FR</t>
  </si>
  <si>
    <t xml:space="preserve">36/Core+Ecom/395K/Marlow</t>
  </si>
  <si>
    <t xml:space="preserve">Marlow Retail SAS</t>
  </si>
  <si>
    <t xml:space="preserve">Marlow Retail S.A.S.</t>
  </si>
  <si>
    <t xml:space="preserve">001SYN000036</t>
  </si>
  <si>
    <t xml:space="preserve">006SYN000000036</t>
  </si>
  <si>
    <t xml:space="preserve">12/Essentials+Mob/47K/Tavish</t>
  </si>
  <si>
    <t xml:space="preserve">Tavish Retail Inc.</t>
  </si>
  <si>
    <t xml:space="preserve">001SYN000037</t>
  </si>
  <si>
    <t xml:space="preserve">006SYN000000037</t>
  </si>
  <si>
    <t xml:space="preserve">12/Core-Adv-Omni/37K/Merrow</t>
  </si>
  <si>
    <t xml:space="preserve">Merrow Travel GmbH</t>
  </si>
  <si>
    <t xml:space="preserve">Merrow Travel GmbH &amp; Co. KG</t>
  </si>
  <si>
    <t xml:space="preserve">001SYN000038</t>
  </si>
  <si>
    <t xml:space="preserve">006SYN000000038</t>
  </si>
  <si>
    <t xml:space="preserve">36/Core+Ecom+Omni/22K/Kestrel</t>
  </si>
  <si>
    <t xml:space="preserve">Kestrel Living GmbH</t>
  </si>
  <si>
    <t xml:space="preserve">001SYN000039</t>
  </si>
  <si>
    <t xml:space="preserve">006SYN000000039</t>
  </si>
  <si>
    <t xml:space="preserve">24/Core-Adv-Omni/53K/Arden</t>
  </si>
  <si>
    <t xml:space="preserve">Owner NA04</t>
  </si>
  <si>
    <t xml:space="preserve">Arden Beauty Inc.</t>
  </si>
  <si>
    <t xml:space="preserve">Arden Beauty Incorporated</t>
  </si>
  <si>
    <t xml:space="preserve">001SYN000040</t>
  </si>
  <si>
    <t xml:space="preserve">006SYN000000040</t>
  </si>
  <si>
    <t xml:space="preserve">24/Core+Ecom/72K/Brightmoor</t>
  </si>
  <si>
    <t xml:space="preserve">Brightmoor Beauty GmbH</t>
  </si>
  <si>
    <t xml:space="preserve">Quill Wine Limited</t>
  </si>
  <si>
    <t xml:space="preserve">001SYN000042</t>
  </si>
  <si>
    <t xml:space="preserve">006SYN000000042</t>
  </si>
  <si>
    <t xml:space="preserve">36/Core+Omni/168K/Arden</t>
  </si>
  <si>
    <t xml:space="preserve">Arden Retail AG</t>
  </si>
  <si>
    <t xml:space="preserve">001SYN000043</t>
  </si>
  <si>
    <t xml:space="preserve">006SYN000000043</t>
  </si>
  <si>
    <t xml:space="preserve">36/Core-Adv-Omni/227K/Linden</t>
  </si>
  <si>
    <t xml:space="preserve">Linden Brands GmbH</t>
  </si>
  <si>
    <t xml:space="preserve">001SYN000044</t>
  </si>
  <si>
    <t xml:space="preserve">006SYN000000044</t>
  </si>
  <si>
    <t xml:space="preserve">36/Core+Ecom/302K/Sable</t>
  </si>
  <si>
    <t xml:space="preserve">Sable Foods GmbH</t>
  </si>
  <si>
    <t xml:space="preserve">001SYN000045</t>
  </si>
  <si>
    <t xml:space="preserve">006SYN000000045</t>
  </si>
  <si>
    <t xml:space="preserve">24/Core+Omni/249K/Alder</t>
  </si>
  <si>
    <t xml:space="preserve">Alder Beauty S.A.S.</t>
  </si>
  <si>
    <t xml:space="preserve">001SYN000046</t>
  </si>
  <si>
    <t xml:space="preserve">006SYN000000046</t>
  </si>
  <si>
    <t xml:space="preserve">24/Core+Ecom/136K/Wexley</t>
  </si>
  <si>
    <t xml:space="preserve">Wexley Living Ltda</t>
  </si>
  <si>
    <t xml:space="preserve">006SYN000000047</t>
  </si>
  <si>
    <t xml:space="preserve">12/Essentials+Mob/160K/Ashby</t>
  </si>
  <si>
    <t xml:space="preserve">001SYN000049</t>
  </si>
  <si>
    <t xml:space="preserve">006SYN000000049</t>
  </si>
  <si>
    <t xml:space="preserve">24/Core+Loyalty/71K/Merrow</t>
  </si>
  <si>
    <t xml:space="preserve">Merrow Home SAS</t>
  </si>
  <si>
    <t xml:space="preserve">Quill Outdoor Limited</t>
  </si>
  <si>
    <t xml:space="preserve">001SYN000051</t>
  </si>
  <si>
    <t xml:space="preserve">006SYN000000051</t>
  </si>
  <si>
    <t xml:space="preserve">12/Core-Adv-Omni/87K/Vesta</t>
  </si>
  <si>
    <t xml:space="preserve">Vesta Outdoor Ltd</t>
  </si>
  <si>
    <t xml:space="preserve">001SYN000056</t>
  </si>
  <si>
    <t xml:space="preserve">006SYN000000056</t>
  </si>
  <si>
    <t xml:space="preserve">24/Core+Omni/259K/Corvale</t>
  </si>
  <si>
    <t xml:space="preserve">Corvale Optics A.S.</t>
  </si>
  <si>
    <t xml:space="preserve">001SYN000057</t>
  </si>
  <si>
    <t xml:space="preserve">006SYN000000057</t>
  </si>
  <si>
    <t xml:space="preserve">12/Essentials+Mob/172K/Juniper</t>
  </si>
  <si>
    <t xml:space="preserve">Juniper Retail Co., Ltd</t>
  </si>
  <si>
    <t xml:space="preserve">001SYN000058</t>
  </si>
  <si>
    <t xml:space="preserve">006SYN000000058</t>
  </si>
  <si>
    <t xml:space="preserve">24/Core+Ecom/20K/Carrow</t>
  </si>
  <si>
    <t xml:space="preserve">Carrow Outdoor Inc.</t>
  </si>
  <si>
    <t xml:space="preserve">001SYN000059</t>
  </si>
  <si>
    <t xml:space="preserve">006SYN000000059</t>
  </si>
  <si>
    <t xml:space="preserve">24/Core+Loyalty/440K/Juniper</t>
  </si>
  <si>
    <t xml:space="preserve">Juniper Pharma AG</t>
  </si>
  <si>
    <t xml:space="preserve">001SYN000060</t>
  </si>
  <si>
    <t xml:space="preserve">006SYN000000060</t>
  </si>
  <si>
    <t xml:space="preserve">12/Core-Adv-Omni/33K/Fenwick</t>
  </si>
  <si>
    <t xml:space="preserve">Fenwick Home AB</t>
  </si>
  <si>
    <t xml:space="preserve">001SYN000062</t>
  </si>
  <si>
    <t xml:space="preserve">006SYN000000062</t>
  </si>
  <si>
    <t xml:space="preserve">12/Core+Ecom/77K/Thorne</t>
  </si>
  <si>
    <t xml:space="preserve">Thorne Fashion S.L.</t>
  </si>
  <si>
    <t xml:space="preserve">Arden Motors GmbH &amp; Co. KG</t>
  </si>
  <si>
    <t xml:space="preserve">001SYN000066</t>
  </si>
  <si>
    <t xml:space="preserve">006SYN000000066</t>
  </si>
  <si>
    <t xml:space="preserve">12/Core+Omni/24K/Brightmoor</t>
  </si>
  <si>
    <t xml:space="preserve">Brightmoor Motors LLC</t>
  </si>
  <si>
    <t xml:space="preserve">006SYN000000067</t>
  </si>
  <si>
    <t xml:space="preserve">12/Core+Loyalty/83K/Fenwick</t>
  </si>
  <si>
    <t xml:space="preserve">001SYN000068</t>
  </si>
  <si>
    <t xml:space="preserve">006SYN000000068</t>
  </si>
  <si>
    <t xml:space="preserve">12/Essentials+Mob/39K/Vesta</t>
  </si>
  <si>
    <t xml:space="preserve">Vesta Foods Limited</t>
  </si>
  <si>
    <t xml:space="preserve">001SYN000071</t>
  </si>
  <si>
    <t xml:space="preserve">006SYN000000071</t>
  </si>
  <si>
    <t xml:space="preserve">24/Essentials+Mob/177K/North</t>
  </si>
  <si>
    <t xml:space="preserve">North Motors GmbH</t>
  </si>
  <si>
    <t xml:space="preserve">001SYN000072</t>
  </si>
  <si>
    <t xml:space="preserve">006SYN000000072</t>
  </si>
  <si>
    <t xml:space="preserve">36/Essentials+Mob/318K/Sable</t>
  </si>
  <si>
    <t xml:space="preserve">Sable Retail GmbH</t>
  </si>
  <si>
    <t xml:space="preserve">Sable Retail GmbH &amp; Co. KG</t>
  </si>
  <si>
    <t xml:space="preserve">001SYN000073</t>
  </si>
  <si>
    <t xml:space="preserve">006SYN000000073</t>
  </si>
  <si>
    <t xml:space="preserve">12/Core-Adv-Omni/264K/Wexley</t>
  </si>
  <si>
    <t xml:space="preserve">Owner LA01</t>
  </si>
  <si>
    <t xml:space="preserve">Wexley Foods Ltda</t>
  </si>
  <si>
    <t xml:space="preserve">Wexley Foods Ltda Group</t>
  </si>
  <si>
    <t xml:space="preserve">001SYN000074</t>
  </si>
  <si>
    <t xml:space="preserve">006SYN000000074</t>
  </si>
  <si>
    <t xml:space="preserve">24/Core-Adv-Omni/38K/Fairlie</t>
  </si>
  <si>
    <t xml:space="preserve">Fairlie Wine GmbH</t>
  </si>
  <si>
    <t xml:space="preserve">Fairlie Wine GmbH &amp; Co. KG</t>
  </si>
  <si>
    <t xml:space="preserve">001SYN000075</t>
  </si>
  <si>
    <t xml:space="preserve">006SYN000000075</t>
  </si>
  <si>
    <t xml:space="preserve">36/Essentials+Mob/90K/Vesta</t>
  </si>
  <si>
    <t xml:space="preserve">Vesta Living AG</t>
  </si>
  <si>
    <t xml:space="preserve">001SYN000076</t>
  </si>
  <si>
    <t xml:space="preserve">006SYN000000076</t>
  </si>
  <si>
    <t xml:space="preserve">12/Core+Ecom+Omni/81K/Redfern</t>
  </si>
  <si>
    <t xml:space="preserve">Redfern Sport AG</t>
  </si>
  <si>
    <t xml:space="preserve">001SYN000078</t>
  </si>
  <si>
    <t xml:space="preserve">006SYN000000078</t>
  </si>
  <si>
    <t xml:space="preserve">12/Essentials+Mob/27K/Holloway</t>
  </si>
  <si>
    <t xml:space="preserve">Holloway Beauty Ltd</t>
  </si>
  <si>
    <t xml:space="preserve">Holloway Beauty Limited</t>
  </si>
  <si>
    <t xml:space="preserve">001SYN000079</t>
  </si>
  <si>
    <t xml:space="preserve">006SYN000000079</t>
  </si>
  <si>
    <t xml:space="preserve">36/Core+Ecom/84K/Juniper</t>
  </si>
  <si>
    <t xml:space="preserve">Juniper Brands Sp. z o.o.</t>
  </si>
  <si>
    <t xml:space="preserve">001SYN000080</t>
  </si>
  <si>
    <t xml:space="preserve">006SYN000000080</t>
  </si>
  <si>
    <t xml:space="preserve">24/Core+Ecom+Omni/241K/Linden</t>
  </si>
  <si>
    <t xml:space="preserve">Linden Travel LLC</t>
  </si>
  <si>
    <t xml:space="preserve">001SYN000081</t>
  </si>
  <si>
    <t xml:space="preserve">006SYN000000081</t>
  </si>
  <si>
    <t xml:space="preserve">24/Core+Ecom/247K/Elstree</t>
  </si>
  <si>
    <t xml:space="preserve">Elstree Fashion S.L.</t>
  </si>
  <si>
    <t xml:space="preserve">001SYN000082</t>
  </si>
  <si>
    <t xml:space="preserve">006SYN000000082</t>
  </si>
  <si>
    <t xml:space="preserve">12/Essentials+Mob/226K/Oriel</t>
  </si>
  <si>
    <t xml:space="preserve">Oriel Fashion B.V.</t>
  </si>
  <si>
    <t xml:space="preserve">006SYN000000083</t>
  </si>
  <si>
    <t xml:space="preserve">12/Core+Ecom+Omni/40K/Oriel</t>
  </si>
  <si>
    <t xml:space="preserve">001SYN000084</t>
  </si>
  <si>
    <t xml:space="preserve">006SYN000000084</t>
  </si>
  <si>
    <t xml:space="preserve">24/Core+Omni/258K/Larch</t>
  </si>
  <si>
    <t xml:space="preserve">Larch Home Ltd</t>
  </si>
  <si>
    <t xml:space="preserve">001SYN000085</t>
  </si>
  <si>
    <t xml:space="preserve">006SYN000000085</t>
  </si>
  <si>
    <t xml:space="preserve">24/Core+Omni/66K/Larch</t>
  </si>
  <si>
    <t xml:space="preserve">Larch Outdoor SAS</t>
  </si>
  <si>
    <t xml:space="preserve">001SYN000086</t>
  </si>
  <si>
    <t xml:space="preserve">006SYN000000086</t>
  </si>
  <si>
    <t xml:space="preserve">12/Core+Ecom/462K/Marlow</t>
  </si>
  <si>
    <t xml:space="preserve">Marlow Sport Inc.</t>
  </si>
  <si>
    <t xml:space="preserve">001SYN000089</t>
  </si>
  <si>
    <t xml:space="preserve">006SYN000000089</t>
  </si>
  <si>
    <t xml:space="preserve">24/Core+Ecom/305K/Calder</t>
  </si>
  <si>
    <t xml:space="preserve">Owner EN04</t>
  </si>
  <si>
    <t xml:space="preserve">Calder Brands Ltd</t>
  </si>
  <si>
    <t xml:space="preserve">001SYN000090</t>
  </si>
  <si>
    <t xml:space="preserve">006SYN000000090</t>
  </si>
  <si>
    <t xml:space="preserve">12/Core+Omni/448K/Brook</t>
  </si>
  <si>
    <t xml:space="preserve">Brook Home A.S.</t>
  </si>
  <si>
    <t xml:space="preserve">001SYN000091</t>
  </si>
  <si>
    <t xml:space="preserve">006SYN000000091</t>
  </si>
  <si>
    <t xml:space="preserve">36/Essentials+Mob/274K/Calder</t>
  </si>
  <si>
    <t xml:space="preserve">Calder Optics SAS</t>
  </si>
  <si>
    <t xml:space="preserve">001SYN000094</t>
  </si>
  <si>
    <t xml:space="preserve">006SYN000000094</t>
  </si>
  <si>
    <t xml:space="preserve">24/Core+Omni/194K/Marlow</t>
  </si>
  <si>
    <t xml:space="preserve">Marlow Outdoor SAS</t>
  </si>
  <si>
    <t xml:space="preserve">001SYN000095</t>
  </si>
  <si>
    <t xml:space="preserve">006SYN000000095</t>
  </si>
  <si>
    <t xml:space="preserve">12/Core+Omni/49K/Juniper</t>
  </si>
  <si>
    <t xml:space="preserve">Juniper Foods AG</t>
  </si>
  <si>
    <t xml:space="preserve">001SYN000096</t>
  </si>
  <si>
    <t xml:space="preserve">006SYN000000096</t>
  </si>
  <si>
    <t xml:space="preserve">24/Core+Ecom+Omni/83K/Corvale</t>
  </si>
  <si>
    <t xml:space="preserve">Corvale Home s.r.o.</t>
  </si>
  <si>
    <t xml:space="preserve">001SYN000097</t>
  </si>
  <si>
    <t xml:space="preserve">006SYN000000097</t>
  </si>
  <si>
    <t xml:space="preserve">36/Essentials+Mob/50K/Oriel</t>
  </si>
  <si>
    <t xml:space="preserve">Oriel Home A.S.</t>
  </si>
  <si>
    <t xml:space="preserve">001SYN000098</t>
  </si>
  <si>
    <t xml:space="preserve">006SYN000000098</t>
  </si>
  <si>
    <t xml:space="preserve">24/Core-Adv-Omni/27K/Halden</t>
  </si>
  <si>
    <t xml:space="preserve">Halden Living A/S</t>
  </si>
  <si>
    <t xml:space="preserve">Halden Living A/S Group</t>
  </si>
  <si>
    <t xml:space="preserve">001SYN000099</t>
  </si>
  <si>
    <t xml:space="preserve">006SYN000000099</t>
  </si>
  <si>
    <t xml:space="preserve">24/Core-Adv-Omni/163K/Redfern</t>
  </si>
  <si>
    <t xml:space="preserve">Redfern Beauty Sp. z o.o.</t>
  </si>
  <si>
    <t xml:space="preserve">001SYN000100</t>
  </si>
  <si>
    <t xml:space="preserve">006SYN000000100</t>
  </si>
  <si>
    <t xml:space="preserve">36/Core+Ecom/27K/Merrow</t>
  </si>
  <si>
    <t xml:space="preserve">Merrow Brands s.r.o.</t>
  </si>
  <si>
    <t xml:space="preserve">001SYN000102</t>
  </si>
  <si>
    <t xml:space="preserve">006SYN000000102</t>
  </si>
  <si>
    <t xml:space="preserve">12/Core+Ecom+Omni/219K/Halden</t>
  </si>
  <si>
    <t xml:space="preserve">Owner NA05</t>
  </si>
  <si>
    <t xml:space="preserve">Halden Optics Inc.</t>
  </si>
  <si>
    <t xml:space="preserve">001SYN000103</t>
  </si>
  <si>
    <t xml:space="preserve">006SYN000000103</t>
  </si>
  <si>
    <t xml:space="preserve">36/Core+Ecom/77K/Juniper</t>
  </si>
  <si>
    <t xml:space="preserve">Juniper Sport Inc.</t>
  </si>
  <si>
    <t xml:space="preserve">006SYN000000104</t>
  </si>
  <si>
    <t xml:space="preserve">36/Core+Omni/420K/Alder</t>
  </si>
  <si>
    <t xml:space="preserve">001SYN000106</t>
  </si>
  <si>
    <t xml:space="preserve">006SYN000000106</t>
  </si>
  <si>
    <t xml:space="preserve">12/Core+Loyalty/21K/Quill</t>
  </si>
  <si>
    <t xml:space="preserve">Quill Beauty LLC</t>
  </si>
  <si>
    <t xml:space="preserve">001SYN000108</t>
  </si>
  <si>
    <t xml:space="preserve">006SYN000000108</t>
  </si>
  <si>
    <t xml:space="preserve">12/Core-Adv-Omni/57K/Penrose</t>
  </si>
  <si>
    <t xml:space="preserve">Penrose Motors S.A. de C.V.</t>
  </si>
  <si>
    <t xml:space="preserve">006SYN000000109</t>
  </si>
  <si>
    <t xml:space="preserve">12/Core+Loyalty/203K/Holloway</t>
  </si>
  <si>
    <t xml:space="preserve">001SYN000110</t>
  </si>
  <si>
    <t xml:space="preserve">006SYN000000110</t>
  </si>
  <si>
    <t xml:space="preserve">12/Core-Adv-Omni/132K/Holloway</t>
  </si>
  <si>
    <t xml:space="preserve">Holloway Optics Ltda</t>
  </si>
  <si>
    <t xml:space="preserve">001SYN000111</t>
  </si>
  <si>
    <t xml:space="preserve">006SYN000000111</t>
  </si>
  <si>
    <t xml:space="preserve">36/Core+Ecom/384K/Halden</t>
  </si>
  <si>
    <t xml:space="preserve">Halden Pharma Inc.</t>
  </si>
  <si>
    <t xml:space="preserve">001SYN000112</t>
  </si>
  <si>
    <t xml:space="preserve">006SYN000000112</t>
  </si>
  <si>
    <t xml:space="preserve">36/Essentials+Mob/127K/Corvale</t>
  </si>
  <si>
    <t xml:space="preserve">Corvale Foods S.p.A.</t>
  </si>
  <si>
    <t xml:space="preserve">001SYN000113</t>
  </si>
  <si>
    <t xml:space="preserve">006SYN000000113</t>
  </si>
  <si>
    <t xml:space="preserve">12/Core-Adv-Omni/195K/Brook</t>
  </si>
  <si>
    <t xml:space="preserve">Brook Sport S.p.A.</t>
  </si>
  <si>
    <t xml:space="preserve">Brook Sport SpA</t>
  </si>
  <si>
    <t xml:space="preserve">001SYN000114</t>
  </si>
  <si>
    <t xml:space="preserve">006SYN000000114</t>
  </si>
  <si>
    <t xml:space="preserve">12/Core+Omni/275K/Brightmoor</t>
  </si>
  <si>
    <t xml:space="preserve">Brightmoor Travel Ltd</t>
  </si>
  <si>
    <t xml:space="preserve">001SYN000115</t>
  </si>
  <si>
    <t xml:space="preserve">006SYN000000115</t>
  </si>
  <si>
    <t xml:space="preserve">36/Core+Ecom/84K/Thorne</t>
  </si>
  <si>
    <t xml:space="preserve">Thorne Media Sp. z o.o.</t>
  </si>
  <si>
    <t xml:space="preserve">Thorne Media Sp. z o.o. Group</t>
  </si>
  <si>
    <t xml:space="preserve">001SYN000117</t>
  </si>
  <si>
    <t xml:space="preserve">006SYN000000117</t>
  </si>
  <si>
    <t xml:space="preserve">36/Core+Ecom+Omni/279K/Quill</t>
  </si>
  <si>
    <t xml:space="preserve">Quill Pharma GmbH</t>
  </si>
  <si>
    <t xml:space="preserve">006SYN000000118</t>
  </si>
  <si>
    <t xml:space="preserve">24/Essentials+Mob/53K/Linden</t>
  </si>
  <si>
    <t xml:space="preserve">001SYN000119</t>
  </si>
  <si>
    <t xml:space="preserve">006SYN000000119</t>
  </si>
  <si>
    <t xml:space="preserve">36/Core+Ecom/413K/Halden</t>
  </si>
  <si>
    <t xml:space="preserve">Halden Sport AB</t>
  </si>
  <si>
    <t xml:space="preserve">001SYN000120</t>
  </si>
  <si>
    <t xml:space="preserve">006SYN000000120</t>
  </si>
  <si>
    <t xml:space="preserve">36/Core+Ecom/82K/Corvale</t>
  </si>
  <si>
    <t xml:space="preserve">Corvale Travel Ltda</t>
  </si>
  <si>
    <t xml:space="preserve">001SYN000121</t>
  </si>
  <si>
    <t xml:space="preserve">006SYN000000121</t>
  </si>
  <si>
    <t xml:space="preserve">12/Core+Ecom/47K/Thorne</t>
  </si>
  <si>
    <t xml:space="preserve">Thorne Home GmbH</t>
  </si>
  <si>
    <t xml:space="preserve">001SYN000122</t>
  </si>
  <si>
    <t xml:space="preserve">006SYN000000122</t>
  </si>
  <si>
    <t xml:space="preserve">36/Core-Adv-Omni/155K/Kestrel</t>
  </si>
  <si>
    <t xml:space="preserve">Kestrel Sport Pte Ltd</t>
  </si>
  <si>
    <t xml:space="preserve">001SYN000123</t>
  </si>
  <si>
    <t xml:space="preserve">006SYN000000123</t>
  </si>
  <si>
    <t xml:space="preserve">24/Core+Omni/134K/Ashby</t>
  </si>
  <si>
    <t xml:space="preserve">Ashby Outdoor A/S</t>
  </si>
  <si>
    <t xml:space="preserve">001SYN000124</t>
  </si>
  <si>
    <t xml:space="preserve">006SYN000000124</t>
  </si>
  <si>
    <t xml:space="preserve">36/Core+Ecom/54K/Fairlie</t>
  </si>
  <si>
    <t xml:space="preserve">Fairlie Sport Sp. z o.o.</t>
  </si>
  <si>
    <t xml:space="preserve">001SYN000125</t>
  </si>
  <si>
    <t xml:space="preserve">006SYN000000125</t>
  </si>
  <si>
    <t xml:space="preserve">12/Core+Loyalty/105K/Larch</t>
  </si>
  <si>
    <t xml:space="preserve">Larch Media AB</t>
  </si>
  <si>
    <t xml:space="preserve">001SYN000126</t>
  </si>
  <si>
    <t xml:space="preserve">006SYN000000126</t>
  </si>
  <si>
    <t xml:space="preserve">24/Core+Ecom/74K/Wexley</t>
  </si>
  <si>
    <t xml:space="preserve">Wexley Brands Ltd</t>
  </si>
  <si>
    <t xml:space="preserve">Wexley Brands Limited</t>
  </si>
  <si>
    <t xml:space="preserve">001SYN000127</t>
  </si>
  <si>
    <t xml:space="preserve">006SYN000000127</t>
  </si>
  <si>
    <t xml:space="preserve">12/Essentials+Mob/34K/Wexley</t>
  </si>
  <si>
    <t xml:space="preserve">Wexley Fashion S.p.A.</t>
  </si>
  <si>
    <t xml:space="preserve">001SYN000128</t>
  </si>
  <si>
    <t xml:space="preserve">006SYN000000128</t>
  </si>
  <si>
    <t xml:space="preserve">24/Core+Ecom+Omni/281K/Holloway</t>
  </si>
  <si>
    <t xml:space="preserve">Holloway Sport Inc.</t>
  </si>
  <si>
    <t xml:space="preserve">001SYN000129</t>
  </si>
  <si>
    <t xml:space="preserve">006SYN000000129</t>
  </si>
  <si>
    <t xml:space="preserve">12/Essentials+Mob/173K/Kestrel</t>
  </si>
  <si>
    <t xml:space="preserve">Kestrel Outdoor Inc.</t>
  </si>
  <si>
    <t xml:space="preserve">001SYN000130</t>
  </si>
  <si>
    <t xml:space="preserve">006SYN000000130</t>
  </si>
  <si>
    <t xml:space="preserve">12/Core+Loyalty/36K/Juniper</t>
  </si>
  <si>
    <t xml:space="preserve">Juniper Optics Sp. z o.o.</t>
  </si>
  <si>
    <t xml:space="preserve">001SYN000132</t>
  </si>
  <si>
    <t xml:space="preserve">006SYN000000132</t>
  </si>
  <si>
    <t xml:space="preserve">24/Core+Loyalty/413K/Tavish</t>
  </si>
  <si>
    <t xml:space="preserve">Tavish Home A/S</t>
  </si>
  <si>
    <t xml:space="preserve">001SYN000134</t>
  </si>
  <si>
    <t xml:space="preserve">006SYN000000134</t>
  </si>
  <si>
    <t xml:space="preserve">12/Essentials+Mob/119K/Juniper</t>
  </si>
  <si>
    <t xml:space="preserve">Juniper Outdoor AB</t>
  </si>
  <si>
    <t xml:space="preserve">001SYN000135</t>
  </si>
  <si>
    <t xml:space="preserve">006SYN000000135</t>
  </si>
  <si>
    <t xml:space="preserve">12/Core+Ecom+Omni/127K/Redfern</t>
  </si>
  <si>
    <t xml:space="preserve">Redfern Pharma Ltd</t>
  </si>
  <si>
    <t xml:space="preserve">Merrow Fashion Incorporated</t>
  </si>
  <si>
    <t xml:space="preserve">001SYN000137</t>
  </si>
  <si>
    <t xml:space="preserve">006SYN000000137</t>
  </si>
  <si>
    <t xml:space="preserve">36/Core+Ecom+Omni/110K/Redfern</t>
  </si>
  <si>
    <t xml:space="preserve">Redfern Retail GmbH</t>
  </si>
  <si>
    <t xml:space="preserve">001SYN000138</t>
  </si>
  <si>
    <t xml:space="preserve">006SYN000000138</t>
  </si>
  <si>
    <t xml:space="preserve">36/Essentials+Mob/515K/Holloway</t>
  </si>
  <si>
    <t xml:space="preserve">Holloway Retail Inc.</t>
  </si>
  <si>
    <t xml:space="preserve">001SYN000139</t>
  </si>
  <si>
    <t xml:space="preserve">006SYN000000139</t>
  </si>
  <si>
    <t xml:space="preserve">36/Core+Ecom+Omni/270K/Ashby</t>
  </si>
  <si>
    <t xml:space="preserve">Ashby Media Ltda</t>
  </si>
  <si>
    <t xml:space="preserve">001SYN000140</t>
  </si>
  <si>
    <t xml:space="preserve">006SYN000000140</t>
  </si>
  <si>
    <t xml:space="preserve">12/Core-Adv-Omni/395K/Tavish</t>
  </si>
  <si>
    <t xml:space="preserve">Tavish Brands Inc.</t>
  </si>
  <si>
    <t xml:space="preserve">001SYN000141</t>
  </si>
  <si>
    <t xml:space="preserve">006SYN000000141</t>
  </si>
  <si>
    <t xml:space="preserve">36/Core+Ecom+Omni/306K/Juniper</t>
  </si>
  <si>
    <t xml:space="preserve">Juniper Motors LLC</t>
  </si>
  <si>
    <t xml:space="preserve">001SYN000142</t>
  </si>
  <si>
    <t xml:space="preserve">006SYN000000142</t>
  </si>
  <si>
    <t xml:space="preserve">36/Core+Omni/88K/Dunmore</t>
  </si>
  <si>
    <t xml:space="preserve">Dunmore Foods A/S</t>
  </si>
  <si>
    <t xml:space="preserve">001SYN000143</t>
  </si>
  <si>
    <t xml:space="preserve">006SYN000000143</t>
  </si>
  <si>
    <t xml:space="preserve">36/Core+Ecom/65K/Vesta</t>
  </si>
  <si>
    <t xml:space="preserve">Vesta Brands B.V.</t>
  </si>
  <si>
    <t xml:space="preserve">001SYN000144</t>
  </si>
  <si>
    <t xml:space="preserve">006SYN000000144</t>
  </si>
  <si>
    <t xml:space="preserve">12/Essentials+Mob/20K/Marlow</t>
  </si>
  <si>
    <t xml:space="preserve">Marlow Fashion AG</t>
  </si>
  <si>
    <t xml:space="preserve">001SYN000145</t>
  </si>
  <si>
    <t xml:space="preserve">006SYN000000145</t>
  </si>
  <si>
    <t xml:space="preserve">36/Core+Loyalty/204K/Elstree</t>
  </si>
  <si>
    <t xml:space="preserve">Elstree Outdoor Ltd</t>
  </si>
  <si>
    <t xml:space="preserve">001SYN000146</t>
  </si>
  <si>
    <t xml:space="preserve">006SYN000000146</t>
  </si>
  <si>
    <t xml:space="preserve">24/Core+Ecom+Omni/193K/Vesta</t>
  </si>
  <si>
    <t xml:space="preserve">Vesta Pharma Ltd</t>
  </si>
  <si>
    <t xml:space="preserve">North Travel Sp. z o.o. Group</t>
  </si>
  <si>
    <t xml:space="preserve">001SYN000148</t>
  </si>
  <si>
    <t xml:space="preserve">006SYN000000148</t>
  </si>
  <si>
    <t xml:space="preserve">36/Core+Ecom+Omni/161K/Kestrel</t>
  </si>
  <si>
    <t xml:space="preserve">Kestrel Beauty AG</t>
  </si>
  <si>
    <t xml:space="preserve">North Wine GmbH &amp; Co. KG</t>
  </si>
  <si>
    <t xml:space="preserve">Refresh directions</t>
  </si>
  <si>
    <t xml:space="preserve">The routine written for the next owner of the file</t>
  </si>
  <si>
    <t xml:space="preserve">Open the Rolling Pipeline tab and use Data &gt; Refresh All. This pulls the latest new business opportunities for the rolling four quarters.</t>
  </si>
  <si>
    <t xml:space="preserve">Check new rows have arrived: look for recent created dates and Opportunity IDs flagged New in column N.</t>
  </si>
  <si>
    <t xml:space="preserve">The D&amp;B lookup in column M matches each Opportunity ID to the account name already validated in Pipeline Compliance.</t>
  </si>
  <si>
    <t xml:space="preserve">Copy every row flagged New into the Pipeline Compliance table and add its D&amp;B name, SIC and DUNS from Hoovers.</t>
  </si>
  <si>
    <t xml:space="preserve">Work the checks in columns U to W and the close date range in column T. Filter Audit status to Review.</t>
  </si>
  <si>
    <t xml:space="preserve">Update the report date on Audit Summary, then read the regional summary before sending.</t>
  </si>
</sst>
</file>

<file path=xl/styles.xml><?xml version="1.0" encoding="utf-8"?>
<styleSheet xmlns="http://schemas.openxmlformats.org/spreadsheetml/2006/main">
  <numFmts count="4">
    <numFmt numFmtId="164" formatCode="General"/>
    <numFmt numFmtId="165" formatCode="dd/mm/yyyy"/>
    <numFmt numFmtId="166" formatCode="0.0%"/>
    <numFmt numFmtId="167" formatCode="#,##0"/>
  </numFmts>
  <fonts count="14">
    <font>
      <sz val="11"/>
      <color theme="1"/>
      <name val="Calibri"/>
      <family val="2"/>
      <charset val="1"/>
    </font>
    <font>
      <sz val="10"/>
      <name val="Arial"/>
      <family val="0"/>
    </font>
    <font>
      <sz val="10"/>
      <name val="Arial"/>
      <family val="0"/>
    </font>
    <font>
      <sz val="10"/>
      <name val="Arial"/>
      <family val="0"/>
    </font>
    <font>
      <b val="true"/>
      <sz val="16"/>
      <color rgb="FF1F2937"/>
      <name val="Arial"/>
      <family val="0"/>
      <charset val="1"/>
    </font>
    <font>
      <b val="true"/>
      <sz val="10"/>
      <color rgb="FF9A3412"/>
      <name val="Arial"/>
      <family val="0"/>
      <charset val="1"/>
    </font>
    <font>
      <b val="true"/>
      <sz val="12"/>
      <color rgb="FF1F3A5F"/>
      <name val="Arial"/>
      <family val="0"/>
      <charset val="1"/>
    </font>
    <font>
      <sz val="10"/>
      <color rgb="FF1F2937"/>
      <name val="Arial"/>
      <family val="0"/>
      <charset val="1"/>
    </font>
    <font>
      <b val="true"/>
      <sz val="14"/>
      <color rgb="FF1F2937"/>
      <name val="Arial"/>
      <family val="0"/>
      <charset val="1"/>
    </font>
    <font>
      <i val="true"/>
      <sz val="9"/>
      <color rgb="FF6B7280"/>
      <name val="Arial"/>
      <family val="0"/>
      <charset val="1"/>
    </font>
    <font>
      <b val="true"/>
      <sz val="10"/>
      <color rgb="FF1F2937"/>
      <name val="Arial"/>
      <family val="0"/>
      <charset val="1"/>
    </font>
    <font>
      <b val="true"/>
      <sz val="10"/>
      <color rgb="FF0000FF"/>
      <name val="Arial"/>
      <family val="0"/>
      <charset val="1"/>
    </font>
    <font>
      <b val="true"/>
      <sz val="10"/>
      <color rgb="FFFFFFFF"/>
      <name val="Arial"/>
      <family val="0"/>
      <charset val="1"/>
    </font>
    <font>
      <sz val="9"/>
      <color rgb="FF1F2937"/>
      <name val="Arial"/>
      <family val="0"/>
      <charset val="1"/>
    </font>
  </fonts>
  <fills count="6">
    <fill>
      <patternFill patternType="none"/>
    </fill>
    <fill>
      <patternFill patternType="gray125"/>
    </fill>
    <fill>
      <patternFill patternType="solid">
        <fgColor rgb="FFFFEDD5"/>
        <bgColor rgb="FFFFF2CC"/>
      </patternFill>
    </fill>
    <fill>
      <patternFill patternType="solid">
        <fgColor rgb="FFFFF2CC"/>
        <bgColor rgb="FFFEF3C7"/>
      </patternFill>
    </fill>
    <fill>
      <patternFill patternType="solid">
        <fgColor rgb="FF1F3A5F"/>
        <bgColor rgb="FF1F2937"/>
      </patternFill>
    </fill>
    <fill>
      <patternFill patternType="solid">
        <fgColor rgb="FFE8EEF5"/>
        <bgColor rgb="FFDCFCE7"/>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4" fontId="12" fillId="4"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6" fontId="10" fillId="5" borderId="1"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5" fontId="13" fillId="0" borderId="0" xfId="0" applyFont="true" applyBorder="fals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FDE2E1"/>
        </patternFill>
      </fill>
    </dxf>
    <dxf>
      <fill>
        <patternFill>
          <bgColor rgb="FFDCFCE7"/>
        </patternFill>
      </fill>
    </dxf>
    <dxf>
      <fill>
        <patternFill patternType="solid">
          <fgColor rgb="FF1F3A5F"/>
          <bgColor rgb="FF000000"/>
        </patternFill>
      </fill>
    </dxf>
    <dxf>
      <fill>
        <patternFill patternType="solid">
          <bgColor rgb="FF000000"/>
        </patternFill>
      </fill>
    </dxf>
    <dxf>
      <fill>
        <patternFill patternType="solid">
          <fgColor rgb="FF1F2937"/>
          <bgColor rgb="FF000000"/>
        </patternFill>
      </fill>
    </dxf>
    <dxf>
      <fill>
        <patternFill patternType="solid">
          <fgColor rgb="FFFFFFFF"/>
          <bgColor rgb="FF000000"/>
        </patternFill>
      </fill>
    </dxf>
    <dxf>
      <fill>
        <patternFill patternType="solid">
          <fgColor rgb="FFFEF3C7"/>
          <bgColor rgb="FF000000"/>
        </patternFill>
      </fill>
    </dxf>
    <dxf>
      <fill>
        <patternFill patternType="solid">
          <fgColor rgb="FFFDE2E1"/>
          <bgColor rgb="FF000000"/>
        </patternFill>
      </fill>
    </dxf>
    <dxf>
      <fill>
        <patternFill>
          <bgColor rgb="FFFEF3C7"/>
        </patternFill>
      </fill>
    </dxf>
    <dxf>
      <fill>
        <patternFill patternType="solid">
          <fgColor rgb="FFDCFCE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8EEF5"/>
      <rgbColor rgb="FFFFEDD5"/>
      <rgbColor rgb="FFFFF2CC"/>
      <rgbColor rgb="FF99CCFF"/>
      <rgbColor rgb="FFFF99CC"/>
      <rgbColor rgb="FFCC99FF"/>
      <rgbColor rgb="FFFDE2E1"/>
      <rgbColor rgb="FF3366FF"/>
      <rgbColor rgb="FF33CCCC"/>
      <rgbColor rgb="FF99CC00"/>
      <rgbColor rgb="FFFFCC00"/>
      <rgbColor rgb="FFFF9900"/>
      <rgbColor rgb="FFFF6600"/>
      <rgbColor rgb="FF6B7280"/>
      <rgbColor rgb="FF969696"/>
      <rgbColor rgb="FF1F3A5F"/>
      <rgbColor rgb="FF339966"/>
      <rgbColor rgb="FF003300"/>
      <rgbColor rgb="FF333300"/>
      <rgbColor rgb="FF9A3412"/>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Compliance" displayName="tblCompliance" ref="A1:Y151" headerRowCount="1" totalsRowCount="0" totalsRowShown="0">
  <autoFilter ref="A1:Y151"/>
  <tableColumns count="25">
    <tableColumn id="1" name="Account ID"/>
    <tableColumn id="2" name="Opportunity ID"/>
    <tableColumn id="3" name="Office"/>
    <tableColumn id="4" name="SAP Region"/>
    <tableColumn id="5" name="Opportunity Name"/>
    <tableColumn id="6" name="Opportunity Owner"/>
    <tableColumn id="7" name="Account Name (CRM)"/>
    <tableColumn id="8" name="Account Name (D&amp;B)"/>
    <tableColumn id="9" name="Industry"/>
    <tableColumn id="10" name="US SIC4 (CRM)"/>
    <tableColumn id="11" name="US SIC4 (D&amp;B)"/>
    <tableColumn id="12" name="DUNS (CRM)"/>
    <tableColumn id="13" name="DUNS (D&amp;B)"/>
    <tableColumn id="14" name="Stage"/>
    <tableColumn id="15" name="Created Date"/>
    <tableColumn id="16" name="Close Date"/>
    <tableColumn id="17" name="Fiscal Period"/>
    <tableColumn id="18" name="ACV (EUR)"/>
    <tableColumn id="19" name="Days to close"/>
    <tableColumn id="20" name="Close date range"/>
    <tableColumn id="21" name="Name check"/>
    <tableColumn id="22" name="SIC check"/>
    <tableColumn id="23" name="DUNS check"/>
    <tableColumn id="24" name="Issues"/>
    <tableColumn id="25" name="Audit status"/>
  </tableColumns>
</table>
</file>

<file path=xl/tables/table2.xml><?xml version="1.0" encoding="utf-8"?>
<table xmlns="http://schemas.openxmlformats.org/spreadsheetml/2006/main" id="2" name="tblRolling" displayName="tblRolling" ref="A1:P61" headerRowCount="1" totalsRowCount="0" totalsRowShown="0">
  <autoFilter ref="A1:P61"/>
  <tableColumns count="16">
    <tableColumn id="1" name="Account ID"/>
    <tableColumn id="2" name="Opportunity ID"/>
    <tableColumn id="3" name="Office"/>
    <tableColumn id="4" name="SAP Region"/>
    <tableColumn id="5" name="Opportunity Name"/>
    <tableColumn id="6" name="Opportunity Owner"/>
    <tableColumn id="7" name="Account Name"/>
    <tableColumn id="8" name="Stage"/>
    <tableColumn id="9" name="Created Date"/>
    <tableColumn id="10" name="Close Date"/>
    <tableColumn id="11" name="Fiscal Period"/>
    <tableColumn id="12" name="ACV (EUR)"/>
    <tableColumn id="13" name="Account Name (D&amp;B lookup)"/>
    <tableColumn id="14" name="New Opportunities"/>
    <tableColumn id="15" name="Days to close"/>
    <tableColumn id="16" name="Close date range"/>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table" Target="../tables/table2.xml"/>
</Relationships>
</file>

<file path=xl/worksheets/_rels/sheet4.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2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20"/>
  </cols>
  <sheetData>
    <row r="1" customFormat="false" ht="19.7" hidden="false" customHeight="false" outlineLevel="0" collapsed="false">
      <c r="B1" s="1" t="s">
        <v>0</v>
      </c>
    </row>
    <row r="2" customFormat="false" ht="15" hidden="false" customHeight="false" outlineLevel="0" collapsed="false">
      <c r="B2" s="2" t="s">
        <v>1</v>
      </c>
    </row>
    <row r="4" customFormat="false" ht="21.75" hidden="false" customHeight="true" outlineLevel="0" collapsed="false">
      <c r="B4" s="3" t="s">
        <v>2</v>
      </c>
    </row>
    <row r="6" customFormat="false" ht="42" hidden="false" customHeight="true" outlineLevel="0" collapsed="false">
      <c r="B6" s="4" t="s">
        <v>3</v>
      </c>
    </row>
    <row r="7" customFormat="false" ht="21.75" hidden="false" customHeight="true" outlineLevel="0" collapsed="false">
      <c r="B7" s="3" t="s">
        <v>4</v>
      </c>
    </row>
    <row r="9" customFormat="false" ht="27.75" hidden="false" customHeight="true" outlineLevel="0" collapsed="false">
      <c r="B9" s="4" t="s">
        <v>5</v>
      </c>
    </row>
    <row r="10" customFormat="false" ht="27.75" hidden="false" customHeight="true" outlineLevel="0" collapsed="false">
      <c r="B10" s="4" t="s">
        <v>6</v>
      </c>
    </row>
    <row r="11" customFormat="false" ht="27.75" hidden="false" customHeight="true" outlineLevel="0" collapsed="false">
      <c r="B11" s="4" t="s">
        <v>7</v>
      </c>
    </row>
    <row r="12" customFormat="false" ht="15" hidden="false" customHeight="true" outlineLevel="0" collapsed="false">
      <c r="B12" s="4" t="s">
        <v>8</v>
      </c>
    </row>
    <row r="13" customFormat="false" ht="21.75" hidden="false" customHeight="true" outlineLevel="0" collapsed="false">
      <c r="B13" s="3" t="s">
        <v>9</v>
      </c>
    </row>
    <row r="15" customFormat="false" ht="27.75" hidden="false" customHeight="true" outlineLevel="0" collapsed="false">
      <c r="B15" s="4" t="s">
        <v>10</v>
      </c>
    </row>
    <row r="16" customFormat="false" ht="15" hidden="false" customHeight="true" outlineLevel="0" collapsed="false">
      <c r="B16" s="4" t="s">
        <v>11</v>
      </c>
    </row>
    <row r="17" customFormat="false" ht="27.75" hidden="false" customHeight="true" outlineLevel="0" collapsed="false">
      <c r="B17" s="4" t="s">
        <v>12</v>
      </c>
    </row>
    <row r="18" customFormat="false" ht="21.75" hidden="false" customHeight="true" outlineLevel="0" collapsed="false">
      <c r="B18" s="3" t="s">
        <v>13</v>
      </c>
    </row>
    <row r="20" customFormat="false" ht="27.75" hidden="false" customHeight="true" outlineLevel="0" collapsed="false">
      <c r="B20" s="4" t="s">
        <v>14</v>
      </c>
    </row>
    <row r="21" customFormat="false" ht="21.75" hidden="false" customHeight="true" outlineLevel="0" collapsed="false">
      <c r="B21" s="3" t="s">
        <v>15</v>
      </c>
    </row>
    <row r="23" customFormat="false" ht="27.75" hidden="false" customHeight="true" outlineLevel="0" collapsed="false">
      <c r="B23" s="4" t="s">
        <v>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9"/>
    <col collapsed="false" customWidth="true" hidden="false" outlineLevel="0" max="3" min="3" style="0" width="10"/>
    <col collapsed="false" customWidth="true" hidden="false" outlineLevel="0" max="4" min="4" style="0" width="9"/>
    <col collapsed="false" customWidth="true" hidden="false" outlineLevel="0" max="6" min="5" style="0" width="11"/>
    <col collapsed="false" customWidth="true" hidden="false" outlineLevel="0" max="8" min="7" style="0" width="12"/>
    <col collapsed="false" customWidth="true" hidden="false" outlineLevel="0" max="10" min="9" style="0" width="10"/>
    <col collapsed="false" customWidth="true" hidden="false" outlineLevel="0" max="11" min="11" style="0" width="9"/>
    <col collapsed="false" customWidth="true" hidden="false" outlineLevel="0" max="12" min="12" style="0" width="12"/>
  </cols>
  <sheetData>
    <row r="1" customFormat="false" ht="17.35" hidden="false" customHeight="false" outlineLevel="0" collapsed="false">
      <c r="A1" s="5" t="s">
        <v>17</v>
      </c>
    </row>
    <row r="2" customFormat="false" ht="15" hidden="false" customHeight="false" outlineLevel="0" collapsed="false">
      <c r="A2" s="6" t="s">
        <v>18</v>
      </c>
    </row>
    <row r="4" customFormat="false" ht="15" hidden="false" customHeight="false" outlineLevel="0" collapsed="false">
      <c r="A4" s="7" t="s">
        <v>19</v>
      </c>
      <c r="B4" s="8" t="n">
        <v>45855</v>
      </c>
    </row>
    <row r="6" customFormat="false" ht="42" hidden="false" customHeight="true" outlineLevel="0" collapsed="false">
      <c r="A6" s="9" t="s">
        <v>20</v>
      </c>
      <c r="B6" s="9" t="s">
        <v>21</v>
      </c>
      <c r="C6" s="9" t="s">
        <v>22</v>
      </c>
      <c r="D6" s="9" t="s">
        <v>23</v>
      </c>
      <c r="E6" s="9" t="s">
        <v>24</v>
      </c>
      <c r="F6" s="9" t="s">
        <v>25</v>
      </c>
      <c r="G6" s="9" t="s">
        <v>26</v>
      </c>
      <c r="H6" s="9" t="s">
        <v>27</v>
      </c>
      <c r="I6" s="9" t="s">
        <v>28</v>
      </c>
      <c r="J6" s="9" t="s">
        <v>29</v>
      </c>
      <c r="K6" s="9" t="s">
        <v>30</v>
      </c>
      <c r="L6" s="9" t="s">
        <v>31</v>
      </c>
    </row>
    <row r="7" customFormat="false" ht="15" hidden="false" customHeight="false" outlineLevel="0" collapsed="false">
      <c r="A7" s="10" t="s">
        <v>32</v>
      </c>
      <c r="B7" s="10" t="n">
        <f aca="false">COUNTIF('Pipeline Compliance'!$D$2:$D$151,A7)</f>
        <v>42</v>
      </c>
      <c r="C7" s="10" t="n">
        <f aca="false">SUMPRODUCT(('Pipeline Compliance'!$D$2:$D$151=A7)/COUNTIFS('Pipeline Compliance'!$A$2:$A$151,'Pipeline Compliance'!$A$2:$A$151,'Pipeline Compliance'!$D$2:$D$151,'Pipeline Compliance'!$D$2:$D$151))</f>
        <v>41</v>
      </c>
      <c r="D7" s="10" t="n">
        <f aca="false">SUMPRODUCT(('Pipeline Compliance'!$D$2:$D$151=A7)/COUNTIFS('Pipeline Compliance'!$F$2:$F$151,'Pipeline Compliance'!$F$2:$F$151,'Pipeline Compliance'!$D$2:$D$151,'Pipeline Compliance'!$D$2:$D$151))</f>
        <v>9</v>
      </c>
      <c r="E7" s="10" t="n">
        <f aca="false">COUNTIFS('Pipeline Compliance'!$D$2:$D$151,A7,'Pipeline Compliance'!$U$2:$U$151,"Mismatch")</f>
        <v>7</v>
      </c>
      <c r="F7" s="10" t="n">
        <f aca="false">COUNTIFS('Pipeline Compliance'!$D$2:$D$151,A7,'Pipeline Compliance'!$U$2:$U$151,"No D&amp;B match")</f>
        <v>7</v>
      </c>
      <c r="G7" s="10" t="n">
        <f aca="false">COUNTIFS('Pipeline Compliance'!$D$2:$D$151,A7,'Pipeline Compliance'!$V$2:$V$151,"Mismatch")+COUNTIFS('Pipeline Compliance'!$D$2:$D$151,A7,'Pipeline Compliance'!$V$2:$V$151,"Missing in CRM")</f>
        <v>5</v>
      </c>
      <c r="H7" s="10" t="n">
        <f aca="false">COUNTIFS('Pipeline Compliance'!$D$2:$D$151,A7,'Pipeline Compliance'!$W$2:$W$151,"Mismatch")+COUNTIFS('Pipeline Compliance'!$D$2:$D$151,A7,'Pipeline Compliance'!$W$2:$W$151,"Missing in CRM")</f>
        <v>5</v>
      </c>
      <c r="I7" s="10" t="n">
        <f aca="false">COUNTIFS('Pipeline Compliance'!$D$2:$D$151,A7,'Pipeline Compliance'!$T$2:$T$151,"past closed")</f>
        <v>27</v>
      </c>
      <c r="J7" s="10" t="n">
        <f aca="false">COUNTIFS('Pipeline Compliance'!$D$2:$D$151,A7,'Pipeline Compliance'!$Y$2:$Y$151,"Clean")</f>
        <v>10</v>
      </c>
      <c r="K7" s="11" t="n">
        <f aca="false">IF(B7=0,0,J7/B7)</f>
        <v>0.238095238095238</v>
      </c>
      <c r="L7" s="10" t="n">
        <f aca="false">COUNTIFS('Rolling Pipeline'!$D$2:$D$61,A7,'Rolling Pipeline'!$N$2:$N$61,"New")</f>
        <v>5</v>
      </c>
    </row>
    <row r="8" customFormat="false" ht="15" hidden="false" customHeight="false" outlineLevel="0" collapsed="false">
      <c r="A8" s="10" t="s">
        <v>33</v>
      </c>
      <c r="B8" s="10" t="n">
        <f aca="false">COUNTIF('Pipeline Compliance'!$D$2:$D$151,A8)</f>
        <v>31</v>
      </c>
      <c r="C8" s="10" t="n">
        <f aca="false">SUMPRODUCT(('Pipeline Compliance'!$D$2:$D$151=A8)/COUNTIFS('Pipeline Compliance'!$A$2:$A$151,'Pipeline Compliance'!$A$2:$A$151,'Pipeline Compliance'!$D$2:$D$151,'Pipeline Compliance'!$D$2:$D$151))</f>
        <v>30</v>
      </c>
      <c r="D8" s="10" t="n">
        <f aca="false">SUMPRODUCT(('Pipeline Compliance'!$D$2:$D$151=A8)/COUNTIFS('Pipeline Compliance'!$F$2:$F$151,'Pipeline Compliance'!$F$2:$F$151,'Pipeline Compliance'!$D$2:$D$151,'Pipeline Compliance'!$D$2:$D$151))</f>
        <v>7</v>
      </c>
      <c r="E8" s="10" t="n">
        <f aca="false">COUNTIFS('Pipeline Compliance'!$D$2:$D$151,A8,'Pipeline Compliance'!$U$2:$U$151,"Mismatch")</f>
        <v>6</v>
      </c>
      <c r="F8" s="10" t="n">
        <f aca="false">COUNTIFS('Pipeline Compliance'!$D$2:$D$151,A8,'Pipeline Compliance'!$U$2:$U$151,"No D&amp;B match")</f>
        <v>2</v>
      </c>
      <c r="G8" s="10" t="n">
        <f aca="false">COUNTIFS('Pipeline Compliance'!$D$2:$D$151,A8,'Pipeline Compliance'!$V$2:$V$151,"Mismatch")+COUNTIFS('Pipeline Compliance'!$D$2:$D$151,A8,'Pipeline Compliance'!$V$2:$V$151,"Missing in CRM")</f>
        <v>7</v>
      </c>
      <c r="H8" s="10" t="n">
        <f aca="false">COUNTIFS('Pipeline Compliance'!$D$2:$D$151,A8,'Pipeline Compliance'!$W$2:$W$151,"Mismatch")+COUNTIFS('Pipeline Compliance'!$D$2:$D$151,A8,'Pipeline Compliance'!$W$2:$W$151,"Missing in CRM")</f>
        <v>7</v>
      </c>
      <c r="I8" s="10" t="n">
        <f aca="false">COUNTIFS('Pipeline Compliance'!$D$2:$D$151,A8,'Pipeline Compliance'!$T$2:$T$151,"past closed")</f>
        <v>19</v>
      </c>
      <c r="J8" s="10" t="n">
        <f aca="false">COUNTIFS('Pipeline Compliance'!$D$2:$D$151,A8,'Pipeline Compliance'!$Y$2:$Y$151,"Clean")</f>
        <v>6</v>
      </c>
      <c r="K8" s="11" t="n">
        <f aca="false">IF(B8=0,0,J8/B8)</f>
        <v>0.193548387096774</v>
      </c>
      <c r="L8" s="10" t="n">
        <f aca="false">COUNTIFS('Rolling Pipeline'!$D$2:$D$61,A8,'Rolling Pipeline'!$N$2:$N$61,"New")</f>
        <v>4</v>
      </c>
    </row>
    <row r="9" customFormat="false" ht="15" hidden="false" customHeight="false" outlineLevel="0" collapsed="false">
      <c r="A9" s="10" t="s">
        <v>34</v>
      </c>
      <c r="B9" s="10" t="n">
        <f aca="false">COUNTIF('Pipeline Compliance'!$D$2:$D$151,A9)</f>
        <v>32</v>
      </c>
      <c r="C9" s="10" t="n">
        <f aca="false">SUMPRODUCT(('Pipeline Compliance'!$D$2:$D$151=A9)/COUNTIFS('Pipeline Compliance'!$A$2:$A$151,'Pipeline Compliance'!$A$2:$A$151,'Pipeline Compliance'!$D$2:$D$151,'Pipeline Compliance'!$D$2:$D$151))</f>
        <v>30</v>
      </c>
      <c r="D9" s="10" t="n">
        <f aca="false">SUMPRODUCT(('Pipeline Compliance'!$D$2:$D$151=A9)/COUNTIFS('Pipeline Compliance'!$F$2:$F$151,'Pipeline Compliance'!$F$2:$F$151,'Pipeline Compliance'!$D$2:$D$151,'Pipeline Compliance'!$D$2:$D$151))</f>
        <v>6</v>
      </c>
      <c r="E9" s="10" t="n">
        <f aca="false">COUNTIFS('Pipeline Compliance'!$D$2:$D$151,A9,'Pipeline Compliance'!$U$2:$U$151,"Mismatch")</f>
        <v>4</v>
      </c>
      <c r="F9" s="10" t="n">
        <f aca="false">COUNTIFS('Pipeline Compliance'!$D$2:$D$151,A9,'Pipeline Compliance'!$U$2:$U$151,"No D&amp;B match")</f>
        <v>2</v>
      </c>
      <c r="G9" s="10" t="n">
        <f aca="false">COUNTIFS('Pipeline Compliance'!$D$2:$D$151,A9,'Pipeline Compliance'!$V$2:$V$151,"Mismatch")+COUNTIFS('Pipeline Compliance'!$D$2:$D$151,A9,'Pipeline Compliance'!$V$2:$V$151,"Missing in CRM")</f>
        <v>5</v>
      </c>
      <c r="H9" s="10" t="n">
        <f aca="false">COUNTIFS('Pipeline Compliance'!$D$2:$D$151,A9,'Pipeline Compliance'!$W$2:$W$151,"Mismatch")+COUNTIFS('Pipeline Compliance'!$D$2:$D$151,A9,'Pipeline Compliance'!$W$2:$W$151,"Missing in CRM")</f>
        <v>6</v>
      </c>
      <c r="I9" s="10" t="n">
        <f aca="false">COUNTIFS('Pipeline Compliance'!$D$2:$D$151,A9,'Pipeline Compliance'!$T$2:$T$151,"past closed")</f>
        <v>17</v>
      </c>
      <c r="J9" s="10" t="n">
        <f aca="false">COUNTIFS('Pipeline Compliance'!$D$2:$D$151,A9,'Pipeline Compliance'!$Y$2:$Y$151,"Clean")</f>
        <v>12</v>
      </c>
      <c r="K9" s="11" t="n">
        <f aca="false">IF(B9=0,0,J9/B9)</f>
        <v>0.375</v>
      </c>
      <c r="L9" s="10" t="n">
        <f aca="false">COUNTIFS('Rolling Pipeline'!$D$2:$D$61,A9,'Rolling Pipeline'!$N$2:$N$61,"New")</f>
        <v>2</v>
      </c>
    </row>
    <row r="10" customFormat="false" ht="15" hidden="false" customHeight="false" outlineLevel="0" collapsed="false">
      <c r="A10" s="10" t="s">
        <v>35</v>
      </c>
      <c r="B10" s="10" t="n">
        <f aca="false">COUNTIF('Pipeline Compliance'!$D$2:$D$151,A10)</f>
        <v>22</v>
      </c>
      <c r="C10" s="10" t="n">
        <f aca="false">SUMPRODUCT(('Pipeline Compliance'!$D$2:$D$151=A10)/COUNTIFS('Pipeline Compliance'!$A$2:$A$151,'Pipeline Compliance'!$A$2:$A$151,'Pipeline Compliance'!$D$2:$D$151,'Pipeline Compliance'!$D$2:$D$151))</f>
        <v>20</v>
      </c>
      <c r="D10" s="10" t="n">
        <f aca="false">SUMPRODUCT(('Pipeline Compliance'!$D$2:$D$151=A10)/COUNTIFS('Pipeline Compliance'!$F$2:$F$151,'Pipeline Compliance'!$F$2:$F$151,'Pipeline Compliance'!$D$2:$D$151,'Pipeline Compliance'!$D$2:$D$151))</f>
        <v>6</v>
      </c>
      <c r="E10" s="10" t="n">
        <f aca="false">COUNTIFS('Pipeline Compliance'!$D$2:$D$151,A10,'Pipeline Compliance'!$U$2:$U$151,"Mismatch")</f>
        <v>2</v>
      </c>
      <c r="F10" s="10" t="n">
        <f aca="false">COUNTIFS('Pipeline Compliance'!$D$2:$D$151,A10,'Pipeline Compliance'!$U$2:$U$151,"No D&amp;B match")</f>
        <v>2</v>
      </c>
      <c r="G10" s="10" t="n">
        <f aca="false">COUNTIFS('Pipeline Compliance'!$D$2:$D$151,A10,'Pipeline Compliance'!$V$2:$V$151,"Mismatch")+COUNTIFS('Pipeline Compliance'!$D$2:$D$151,A10,'Pipeline Compliance'!$V$2:$V$151,"Missing in CRM")</f>
        <v>5</v>
      </c>
      <c r="H10" s="10" t="n">
        <f aca="false">COUNTIFS('Pipeline Compliance'!$D$2:$D$151,A10,'Pipeline Compliance'!$W$2:$W$151,"Mismatch")+COUNTIFS('Pipeline Compliance'!$D$2:$D$151,A10,'Pipeline Compliance'!$W$2:$W$151,"Missing in CRM")</f>
        <v>5</v>
      </c>
      <c r="I10" s="10" t="n">
        <f aca="false">COUNTIFS('Pipeline Compliance'!$D$2:$D$151,A10,'Pipeline Compliance'!$T$2:$T$151,"past closed")</f>
        <v>14</v>
      </c>
      <c r="J10" s="10" t="n">
        <f aca="false">COUNTIFS('Pipeline Compliance'!$D$2:$D$151,A10,'Pipeline Compliance'!$Y$2:$Y$151,"Clean")</f>
        <v>6</v>
      </c>
      <c r="K10" s="11" t="n">
        <f aca="false">IF(B10=0,0,J10/B10)</f>
        <v>0.272727272727273</v>
      </c>
      <c r="L10" s="10" t="n">
        <f aca="false">COUNTIFS('Rolling Pipeline'!$D$2:$D$61,A10,'Rolling Pipeline'!$N$2:$N$61,"New")</f>
        <v>4</v>
      </c>
    </row>
    <row r="11" customFormat="false" ht="15" hidden="false" customHeight="false" outlineLevel="0" collapsed="false">
      <c r="A11" s="10" t="s">
        <v>36</v>
      </c>
      <c r="B11" s="10" t="n">
        <f aca="false">COUNTIF('Pipeline Compliance'!$D$2:$D$151,A11)</f>
        <v>10</v>
      </c>
      <c r="C11" s="10" t="n">
        <f aca="false">SUMPRODUCT(('Pipeline Compliance'!$D$2:$D$151=A11)/COUNTIFS('Pipeline Compliance'!$A$2:$A$151,'Pipeline Compliance'!$A$2:$A$151,'Pipeline Compliance'!$D$2:$D$151,'Pipeline Compliance'!$D$2:$D$151))</f>
        <v>10</v>
      </c>
      <c r="D11" s="10" t="n">
        <f aca="false">SUMPRODUCT(('Pipeline Compliance'!$D$2:$D$151=A11)/COUNTIFS('Pipeline Compliance'!$F$2:$F$151,'Pipeline Compliance'!$F$2:$F$151,'Pipeline Compliance'!$D$2:$D$151,'Pipeline Compliance'!$D$2:$D$151))</f>
        <v>4</v>
      </c>
      <c r="E11" s="10" t="n">
        <f aca="false">COUNTIFS('Pipeline Compliance'!$D$2:$D$151,A11,'Pipeline Compliance'!$U$2:$U$151,"Mismatch")</f>
        <v>1</v>
      </c>
      <c r="F11" s="10" t="n">
        <f aca="false">COUNTIFS('Pipeline Compliance'!$D$2:$D$151,A11,'Pipeline Compliance'!$U$2:$U$151,"No D&amp;B match")</f>
        <v>2</v>
      </c>
      <c r="G11" s="10" t="n">
        <f aca="false">COUNTIFS('Pipeline Compliance'!$D$2:$D$151,A11,'Pipeline Compliance'!$V$2:$V$151,"Mismatch")+COUNTIFS('Pipeline Compliance'!$D$2:$D$151,A11,'Pipeline Compliance'!$V$2:$V$151,"Missing in CRM")</f>
        <v>1</v>
      </c>
      <c r="H11" s="10" t="n">
        <f aca="false">COUNTIFS('Pipeline Compliance'!$D$2:$D$151,A11,'Pipeline Compliance'!$W$2:$W$151,"Mismatch")+COUNTIFS('Pipeline Compliance'!$D$2:$D$151,A11,'Pipeline Compliance'!$W$2:$W$151,"Missing in CRM")</f>
        <v>2</v>
      </c>
      <c r="I11" s="10" t="n">
        <f aca="false">COUNTIFS('Pipeline Compliance'!$D$2:$D$151,A11,'Pipeline Compliance'!$T$2:$T$151,"past closed")</f>
        <v>7</v>
      </c>
      <c r="J11" s="10" t="n">
        <f aca="false">COUNTIFS('Pipeline Compliance'!$D$2:$D$151,A11,'Pipeline Compliance'!$Y$2:$Y$151,"Clean")</f>
        <v>2</v>
      </c>
      <c r="K11" s="11" t="n">
        <f aca="false">IF(B11=0,0,J11/B11)</f>
        <v>0.2</v>
      </c>
      <c r="L11" s="10" t="n">
        <f aca="false">COUNTIFS('Rolling Pipeline'!$D$2:$D$61,A11,'Rolling Pipeline'!$N$2:$N$61,"New")</f>
        <v>2</v>
      </c>
    </row>
    <row r="12" customFormat="false" ht="15" hidden="false" customHeight="false" outlineLevel="0" collapsed="false">
      <c r="A12" s="10" t="s">
        <v>37</v>
      </c>
      <c r="B12" s="10" t="n">
        <f aca="false">COUNTIF('Pipeline Compliance'!$D$2:$D$151,A12)</f>
        <v>7</v>
      </c>
      <c r="C12" s="10" t="n">
        <f aca="false">SUMPRODUCT(('Pipeline Compliance'!$D$2:$D$151=A12)/COUNTIFS('Pipeline Compliance'!$A$2:$A$151,'Pipeline Compliance'!$A$2:$A$151,'Pipeline Compliance'!$D$2:$D$151,'Pipeline Compliance'!$D$2:$D$151))</f>
        <v>7</v>
      </c>
      <c r="D12" s="10" t="n">
        <f aca="false">SUMPRODUCT(('Pipeline Compliance'!$D$2:$D$151=A12)/COUNTIFS('Pipeline Compliance'!$F$2:$F$151,'Pipeline Compliance'!$F$2:$F$151,'Pipeline Compliance'!$D$2:$D$151,'Pipeline Compliance'!$D$2:$D$151))</f>
        <v>2</v>
      </c>
      <c r="E12" s="10" t="n">
        <f aca="false">COUNTIFS('Pipeline Compliance'!$D$2:$D$151,A12,'Pipeline Compliance'!$U$2:$U$151,"Mismatch")</f>
        <v>0</v>
      </c>
      <c r="F12" s="10" t="n">
        <f aca="false">COUNTIFS('Pipeline Compliance'!$D$2:$D$151,A12,'Pipeline Compliance'!$U$2:$U$151,"No D&amp;B match")</f>
        <v>2</v>
      </c>
      <c r="G12" s="10" t="n">
        <f aca="false">COUNTIFS('Pipeline Compliance'!$D$2:$D$151,A12,'Pipeline Compliance'!$V$2:$V$151,"Mismatch")+COUNTIFS('Pipeline Compliance'!$D$2:$D$151,A12,'Pipeline Compliance'!$V$2:$V$151,"Missing in CRM")</f>
        <v>1</v>
      </c>
      <c r="H12" s="10" t="n">
        <f aca="false">COUNTIFS('Pipeline Compliance'!$D$2:$D$151,A12,'Pipeline Compliance'!$W$2:$W$151,"Mismatch")+COUNTIFS('Pipeline Compliance'!$D$2:$D$151,A12,'Pipeline Compliance'!$W$2:$W$151,"Missing in CRM")</f>
        <v>1</v>
      </c>
      <c r="I12" s="10" t="n">
        <f aca="false">COUNTIFS('Pipeline Compliance'!$D$2:$D$151,A12,'Pipeline Compliance'!$T$2:$T$151,"past closed")</f>
        <v>5</v>
      </c>
      <c r="J12" s="10" t="n">
        <f aca="false">COUNTIFS('Pipeline Compliance'!$D$2:$D$151,A12,'Pipeline Compliance'!$Y$2:$Y$151,"Clean")</f>
        <v>1</v>
      </c>
      <c r="K12" s="11" t="n">
        <f aca="false">IF(B12=0,0,J12/B12)</f>
        <v>0.142857142857143</v>
      </c>
      <c r="L12" s="10" t="n">
        <f aca="false">COUNTIFS('Rolling Pipeline'!$D$2:$D$61,A12,'Rolling Pipeline'!$N$2:$N$61,"New")</f>
        <v>0</v>
      </c>
    </row>
    <row r="13" customFormat="false" ht="15" hidden="false" customHeight="false" outlineLevel="0" collapsed="false">
      <c r="A13" s="10" t="s">
        <v>38</v>
      </c>
      <c r="B13" s="10" t="n">
        <f aca="false">COUNTIF('Pipeline Compliance'!$D$2:$D$151,A13)</f>
        <v>6</v>
      </c>
      <c r="C13" s="10" t="n">
        <f aca="false">SUMPRODUCT(('Pipeline Compliance'!$D$2:$D$151=A13)/COUNTIFS('Pipeline Compliance'!$A$2:$A$151,'Pipeline Compliance'!$A$2:$A$151,'Pipeline Compliance'!$D$2:$D$151,'Pipeline Compliance'!$D$2:$D$151))</f>
        <v>6</v>
      </c>
      <c r="D13" s="10" t="n">
        <f aca="false">SUMPRODUCT(('Pipeline Compliance'!$D$2:$D$151=A13)/COUNTIFS('Pipeline Compliance'!$F$2:$F$151,'Pipeline Compliance'!$F$2:$F$151,'Pipeline Compliance'!$D$2:$D$151,'Pipeline Compliance'!$D$2:$D$151))</f>
        <v>2</v>
      </c>
      <c r="E13" s="10" t="n">
        <f aca="false">COUNTIFS('Pipeline Compliance'!$D$2:$D$151,A13,'Pipeline Compliance'!$U$2:$U$151,"Mismatch")</f>
        <v>0</v>
      </c>
      <c r="F13" s="10" t="n">
        <f aca="false">COUNTIFS('Pipeline Compliance'!$D$2:$D$151,A13,'Pipeline Compliance'!$U$2:$U$151,"No D&amp;B match")</f>
        <v>1</v>
      </c>
      <c r="G13" s="10" t="n">
        <f aca="false">COUNTIFS('Pipeline Compliance'!$D$2:$D$151,A13,'Pipeline Compliance'!$V$2:$V$151,"Mismatch")+COUNTIFS('Pipeline Compliance'!$D$2:$D$151,A13,'Pipeline Compliance'!$V$2:$V$151,"Missing in CRM")</f>
        <v>1</v>
      </c>
      <c r="H13" s="10" t="n">
        <f aca="false">COUNTIFS('Pipeline Compliance'!$D$2:$D$151,A13,'Pipeline Compliance'!$W$2:$W$151,"Mismatch")+COUNTIFS('Pipeline Compliance'!$D$2:$D$151,A13,'Pipeline Compliance'!$W$2:$W$151,"Missing in CRM")</f>
        <v>1</v>
      </c>
      <c r="I13" s="10" t="n">
        <f aca="false">COUNTIFS('Pipeline Compliance'!$D$2:$D$151,A13,'Pipeline Compliance'!$T$2:$T$151,"past closed")</f>
        <v>3</v>
      </c>
      <c r="J13" s="10" t="n">
        <f aca="false">COUNTIFS('Pipeline Compliance'!$D$2:$D$151,A13,'Pipeline Compliance'!$Y$2:$Y$151,"Clean")</f>
        <v>2</v>
      </c>
      <c r="K13" s="11" t="n">
        <f aca="false">IF(B13=0,0,J13/B13)</f>
        <v>0.333333333333333</v>
      </c>
      <c r="L13" s="10" t="n">
        <f aca="false">COUNTIFS('Rolling Pipeline'!$D$2:$D$61,A13,'Rolling Pipeline'!$N$2:$N$61,"New")</f>
        <v>3</v>
      </c>
    </row>
    <row r="14" customFormat="false" ht="15" hidden="false" customHeight="false" outlineLevel="0" collapsed="false">
      <c r="A14" s="12" t="s">
        <v>39</v>
      </c>
      <c r="B14" s="12" t="n">
        <f aca="false">SUM(B7:B13)</f>
        <v>150</v>
      </c>
      <c r="C14" s="12" t="n">
        <f aca="false">SUMPRODUCT(1/COUNTIF('Pipeline Compliance'!$A$2:$A$151,'Pipeline Compliance'!$A$2:$A$151))</f>
        <v>144</v>
      </c>
      <c r="D14" s="12" t="n">
        <f aca="false">SUMPRODUCT(1/COUNTIF('Pipeline Compliance'!$F$2:$F$151,'Pipeline Compliance'!$F$2:$F$151))</f>
        <v>36</v>
      </c>
      <c r="E14" s="12" t="n">
        <f aca="false">SUM(E7:E13)</f>
        <v>20</v>
      </c>
      <c r="F14" s="12" t="n">
        <f aca="false">SUM(F7:F13)</f>
        <v>18</v>
      </c>
      <c r="G14" s="12" t="n">
        <f aca="false">SUM(G7:G13)</f>
        <v>25</v>
      </c>
      <c r="H14" s="12" t="n">
        <f aca="false">SUM(H7:H13)</f>
        <v>27</v>
      </c>
      <c r="I14" s="12" t="n">
        <f aca="false">SUM(I7:I13)</f>
        <v>92</v>
      </c>
      <c r="J14" s="12" t="n">
        <f aca="false">SUM(J7:J13)</f>
        <v>39</v>
      </c>
      <c r="K14" s="13" t="n">
        <f aca="false">IF(B14=0,0,J14/B14)</f>
        <v>0.26</v>
      </c>
      <c r="L14" s="12" t="n">
        <f aca="false">SUM(L7:L13)</f>
        <v>20</v>
      </c>
    </row>
    <row r="16" customFormat="false" ht="15" hidden="false" customHeight="false" outlineLevel="0" collapsed="false">
      <c r="A16" s="6" t="s">
        <v>40</v>
      </c>
    </row>
    <row r="17" customFormat="false" ht="15" hidden="false" customHeight="false" outlineLevel="0" collapsed="false">
      <c r="A17" s="6" t="s">
        <v>41</v>
      </c>
    </row>
  </sheetData>
  <conditionalFormatting sqref="K7:K14">
    <cfRule type="cellIs" priority="2" operator="lessThan" aboveAverage="0" equalAverage="0" bottom="0" percent="0" rank="0" text="" dxfId="0">
      <formula>0.6</formula>
    </cfRule>
    <cfRule type="cellIs" priority="3" operator="greaterThanOrEqual" aboveAverage="0" equalAverage="0" bottom="0" percent="0" rank="0" text="" dxfId="1">
      <formula>0.6</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7"/>
    <col collapsed="false" customWidth="true" hidden="false" outlineLevel="0" max="4" min="4" style="0" width="12"/>
    <col collapsed="false" customWidth="true" hidden="false" outlineLevel="0" max="5" min="5" style="0" width="30"/>
    <col collapsed="false" customWidth="true" hidden="false" outlineLevel="0" max="6" min="6" style="0" width="15"/>
    <col collapsed="false" customWidth="true" hidden="false" outlineLevel="0" max="7" min="7" style="0" width="30"/>
    <col collapsed="false" customWidth="true" hidden="false" outlineLevel="0" max="8" min="8" style="0" width="24"/>
    <col collapsed="false" customWidth="true" hidden="false" outlineLevel="0" max="10" min="9" style="0" width="11"/>
    <col collapsed="false" customWidth="true" hidden="false" outlineLevel="0" max="11" min="11" style="0" width="10"/>
    <col collapsed="false" customWidth="true" hidden="false" outlineLevel="0" max="12" min="12" style="0" width="11"/>
    <col collapsed="false" customWidth="true" hidden="false" outlineLevel="0" max="13" min="13" style="0" width="30"/>
    <col collapsed="false" customWidth="true" hidden="false" outlineLevel="0" max="14" min="14" style="0" width="12"/>
    <col collapsed="false" customWidth="true" hidden="false" outlineLevel="0" max="15" min="15" style="0" width="9"/>
    <col collapsed="false" customWidth="true" hidden="false" outlineLevel="0" max="16" min="16" style="0" width="13"/>
  </cols>
  <sheetData>
    <row r="1" customFormat="false" ht="35.05" hidden="false" customHeight="false" outlineLevel="0" collapsed="false">
      <c r="A1" s="9" t="s">
        <v>42</v>
      </c>
      <c r="B1" s="9" t="s">
        <v>43</v>
      </c>
      <c r="C1" s="9" t="s">
        <v>44</v>
      </c>
      <c r="D1" s="9" t="s">
        <v>20</v>
      </c>
      <c r="E1" s="9" t="s">
        <v>45</v>
      </c>
      <c r="F1" s="9" t="s">
        <v>46</v>
      </c>
      <c r="G1" s="9" t="s">
        <v>47</v>
      </c>
      <c r="H1" s="9" t="s">
        <v>48</v>
      </c>
      <c r="I1" s="9" t="s">
        <v>49</v>
      </c>
      <c r="J1" s="9" t="s">
        <v>50</v>
      </c>
      <c r="K1" s="9" t="s">
        <v>51</v>
      </c>
      <c r="L1" s="9" t="s">
        <v>52</v>
      </c>
      <c r="M1" s="9" t="s">
        <v>53</v>
      </c>
      <c r="N1" s="9" t="s">
        <v>54</v>
      </c>
      <c r="O1" s="9" t="s">
        <v>55</v>
      </c>
      <c r="P1" s="9" t="s">
        <v>56</v>
      </c>
    </row>
    <row r="2" customFormat="false" ht="15" hidden="false" customHeight="false" outlineLevel="0" collapsed="false">
      <c r="A2" s="14" t="s">
        <v>57</v>
      </c>
      <c r="B2" s="14" t="s">
        <v>58</v>
      </c>
      <c r="C2" s="14" t="s">
        <v>59</v>
      </c>
      <c r="D2" s="14" t="s">
        <v>37</v>
      </c>
      <c r="E2" s="14" t="s">
        <v>60</v>
      </c>
      <c r="F2" s="14" t="s">
        <v>61</v>
      </c>
      <c r="G2" s="14" t="s">
        <v>62</v>
      </c>
      <c r="H2" s="14" t="s">
        <v>63</v>
      </c>
      <c r="I2" s="15" t="n">
        <v>45330</v>
      </c>
      <c r="J2" s="15" t="n">
        <v>45428</v>
      </c>
      <c r="K2" s="14" t="s">
        <v>64</v>
      </c>
      <c r="L2" s="16" t="n">
        <v>156200</v>
      </c>
      <c r="M2" s="14" t="str">
        <f aca="false">IFERROR(INDEX('Pipeline Compliance'!$H$2:$H$151,MATCH(B2,'Pipeline Compliance'!$B$2:$B$151,0)),"")</f>
        <v>Quill Fashion Limited</v>
      </c>
      <c r="N2" s="14" t="str">
        <f aca="false">IF(ISNA(MATCH(B2,'Pipeline Compliance'!$B$2:$B$151,0)),"New","Old")</f>
        <v>Old</v>
      </c>
      <c r="O2" s="14" t="n">
        <f aca="false">IF(H2="Closed Won","",J2-ReportDate)</f>
        <v>-427</v>
      </c>
      <c r="P2" s="14" t="str">
        <f aca="false">IF(H2="Closed Won","closed",IF(O2&lt;0,"past closed",IF(O2&lt;=10,"update","on track")))</f>
        <v>past closed</v>
      </c>
    </row>
    <row r="3" customFormat="false" ht="15" hidden="false" customHeight="false" outlineLevel="0" collapsed="false">
      <c r="A3" s="14" t="s">
        <v>65</v>
      </c>
      <c r="B3" s="14" t="s">
        <v>66</v>
      </c>
      <c r="C3" s="14" t="s">
        <v>67</v>
      </c>
      <c r="D3" s="14" t="s">
        <v>35</v>
      </c>
      <c r="E3" s="14" t="s">
        <v>68</v>
      </c>
      <c r="F3" s="14" t="s">
        <v>69</v>
      </c>
      <c r="G3" s="14" t="s">
        <v>70</v>
      </c>
      <c r="H3" s="14" t="s">
        <v>71</v>
      </c>
      <c r="I3" s="15" t="n">
        <v>45800</v>
      </c>
      <c r="J3" s="15" t="n">
        <v>45957</v>
      </c>
      <c r="K3" s="14" t="s">
        <v>72</v>
      </c>
      <c r="L3" s="16" t="n">
        <v>21200</v>
      </c>
      <c r="M3" s="14" t="str">
        <f aca="false">IFERROR(INDEX('Pipeline Compliance'!$H$2:$H$151,MATCH(B3,'Pipeline Compliance'!$B$2:$B$151,0)),"")</f>
        <v>Marlow Optics Inc.</v>
      </c>
      <c r="N3" s="14" t="str">
        <f aca="false">IF(ISNA(MATCH(B3,'Pipeline Compliance'!$B$2:$B$151,0)),"New","Old")</f>
        <v>Old</v>
      </c>
      <c r="O3" s="14" t="n">
        <f aca="false">IF(H3="Closed Won","",J3-ReportDate)</f>
        <v>102</v>
      </c>
      <c r="P3" s="14" t="str">
        <f aca="false">IF(H3="Closed Won","closed",IF(O3&lt;0,"past closed",IF(O3&lt;=10,"update","on track")))</f>
        <v>on track</v>
      </c>
    </row>
    <row r="4" customFormat="false" ht="15" hidden="false" customHeight="false" outlineLevel="0" collapsed="false">
      <c r="A4" s="14" t="s">
        <v>73</v>
      </c>
      <c r="B4" s="14" t="s">
        <v>74</v>
      </c>
      <c r="C4" s="14" t="s">
        <v>75</v>
      </c>
      <c r="D4" s="14" t="s">
        <v>32</v>
      </c>
      <c r="E4" s="14" t="s">
        <v>76</v>
      </c>
      <c r="F4" s="14" t="s">
        <v>77</v>
      </c>
      <c r="G4" s="14" t="s">
        <v>78</v>
      </c>
      <c r="H4" s="14" t="s">
        <v>71</v>
      </c>
      <c r="I4" s="15" t="n">
        <v>45404</v>
      </c>
      <c r="J4" s="15" t="n">
        <v>45469</v>
      </c>
      <c r="K4" s="14" t="s">
        <v>64</v>
      </c>
      <c r="L4" s="16" t="n">
        <v>268800</v>
      </c>
      <c r="M4" s="14" t="str">
        <f aca="false">IFERROR(INDEX('Pipeline Compliance'!$H$2:$H$151,MATCH(B4,'Pipeline Compliance'!$B$2:$B$151,0)),"")</f>
        <v>Carrow Fashion GmbH</v>
      </c>
      <c r="N4" s="14" t="str">
        <f aca="false">IF(ISNA(MATCH(B4,'Pipeline Compliance'!$B$2:$B$151,0)),"New","Old")</f>
        <v>Old</v>
      </c>
      <c r="O4" s="14" t="n">
        <f aca="false">IF(H4="Closed Won","",J4-ReportDate)</f>
        <v>-386</v>
      </c>
      <c r="P4" s="14" t="str">
        <f aca="false">IF(H4="Closed Won","closed",IF(O4&lt;0,"past closed",IF(O4&lt;=10,"update","on track")))</f>
        <v>past closed</v>
      </c>
    </row>
    <row r="5" customFormat="false" ht="15" hidden="false" customHeight="false" outlineLevel="0" collapsed="false">
      <c r="A5" s="14" t="s">
        <v>79</v>
      </c>
      <c r="B5" s="14" t="s">
        <v>80</v>
      </c>
      <c r="C5" s="14" t="s">
        <v>81</v>
      </c>
      <c r="D5" s="14" t="s">
        <v>38</v>
      </c>
      <c r="E5" s="14" t="s">
        <v>82</v>
      </c>
      <c r="F5" s="14" t="s">
        <v>83</v>
      </c>
      <c r="G5" s="14" t="s">
        <v>84</v>
      </c>
      <c r="H5" s="14" t="s">
        <v>63</v>
      </c>
      <c r="I5" s="15" t="n">
        <v>45660</v>
      </c>
      <c r="J5" s="15" t="n">
        <v>45743</v>
      </c>
      <c r="K5" s="14" t="s">
        <v>85</v>
      </c>
      <c r="L5" s="16" t="n">
        <v>124800</v>
      </c>
      <c r="M5" s="14" t="str">
        <f aca="false">IFERROR(INDEX('Pipeline Compliance'!$H$2:$H$151,MATCH(B5,'Pipeline Compliance'!$B$2:$B$151,0)),"")</f>
        <v/>
      </c>
      <c r="N5" s="14" t="str">
        <f aca="false">IF(ISNA(MATCH(B5,'Pipeline Compliance'!$B$2:$B$151,0)),"New","Old")</f>
        <v>New</v>
      </c>
      <c r="O5" s="14" t="n">
        <f aca="false">IF(H5="Closed Won","",J5-ReportDate)</f>
        <v>-112</v>
      </c>
      <c r="P5" s="14" t="str">
        <f aca="false">IF(H5="Closed Won","closed",IF(O5&lt;0,"past closed",IF(O5&lt;=10,"update","on track")))</f>
        <v>past closed</v>
      </c>
    </row>
    <row r="6" customFormat="false" ht="15" hidden="false" customHeight="false" outlineLevel="0" collapsed="false">
      <c r="A6" s="14" t="s">
        <v>86</v>
      </c>
      <c r="B6" s="14" t="s">
        <v>87</v>
      </c>
      <c r="C6" s="14" t="s">
        <v>88</v>
      </c>
      <c r="D6" s="14" t="s">
        <v>36</v>
      </c>
      <c r="E6" s="14" t="s">
        <v>89</v>
      </c>
      <c r="F6" s="14" t="s">
        <v>90</v>
      </c>
      <c r="G6" s="14" t="s">
        <v>91</v>
      </c>
      <c r="H6" s="14" t="s">
        <v>63</v>
      </c>
      <c r="I6" s="15" t="n">
        <v>45515</v>
      </c>
      <c r="J6" s="15" t="n">
        <v>45634</v>
      </c>
      <c r="K6" s="14" t="s">
        <v>92</v>
      </c>
      <c r="L6" s="16" t="n">
        <v>47500</v>
      </c>
      <c r="M6" s="14" t="str">
        <f aca="false">IFERROR(INDEX('Pipeline Compliance'!$H$2:$H$151,MATCH(B6,'Pipeline Compliance'!$B$2:$B$151,0)),"")</f>
        <v/>
      </c>
      <c r="N6" s="14" t="str">
        <f aca="false">IF(ISNA(MATCH(B6,'Pipeline Compliance'!$B$2:$B$151,0)),"New","Old")</f>
        <v>New</v>
      </c>
      <c r="O6" s="14" t="n">
        <f aca="false">IF(H6="Closed Won","",J6-ReportDate)</f>
        <v>-221</v>
      </c>
      <c r="P6" s="14" t="str">
        <f aca="false">IF(H6="Closed Won","closed",IF(O6&lt;0,"past closed",IF(O6&lt;=10,"update","on track")))</f>
        <v>past closed</v>
      </c>
    </row>
    <row r="7" customFormat="false" ht="15" hidden="false" customHeight="false" outlineLevel="0" collapsed="false">
      <c r="A7" s="14" t="s">
        <v>93</v>
      </c>
      <c r="B7" s="14" t="s">
        <v>94</v>
      </c>
      <c r="C7" s="14" t="s">
        <v>95</v>
      </c>
      <c r="D7" s="14" t="s">
        <v>34</v>
      </c>
      <c r="E7" s="14" t="s">
        <v>96</v>
      </c>
      <c r="F7" s="14" t="s">
        <v>97</v>
      </c>
      <c r="G7" s="14" t="s">
        <v>98</v>
      </c>
      <c r="H7" s="14" t="s">
        <v>99</v>
      </c>
      <c r="I7" s="15" t="n">
        <v>45330</v>
      </c>
      <c r="J7" s="15" t="n">
        <v>45559</v>
      </c>
      <c r="K7" s="14" t="s">
        <v>100</v>
      </c>
      <c r="L7" s="16" t="n">
        <v>171200</v>
      </c>
      <c r="M7" s="14" t="str">
        <f aca="false">IFERROR(INDEX('Pipeline Compliance'!$H$2:$H$151,MATCH(B7,'Pipeline Compliance'!$B$2:$B$151,0)),"")</f>
        <v>Calder Retail S.p.A.</v>
      </c>
      <c r="N7" s="14" t="str">
        <f aca="false">IF(ISNA(MATCH(B7,'Pipeline Compliance'!$B$2:$B$151,0)),"New","Old")</f>
        <v>Old</v>
      </c>
      <c r="O7" s="14" t="str">
        <f aca="false">IF(H7="Closed Won","",J7-ReportDate)</f>
        <v/>
      </c>
      <c r="P7" s="14" t="str">
        <f aca="false">IF(H7="Closed Won","closed",IF(O7&lt;0,"past closed",IF(O7&lt;=10,"update","on track")))</f>
        <v>closed</v>
      </c>
    </row>
    <row r="8" customFormat="false" ht="15" hidden="false" customHeight="false" outlineLevel="0" collapsed="false">
      <c r="A8" s="14" t="s">
        <v>101</v>
      </c>
      <c r="B8" s="14" t="s">
        <v>102</v>
      </c>
      <c r="C8" s="14" t="s">
        <v>103</v>
      </c>
      <c r="D8" s="14" t="s">
        <v>32</v>
      </c>
      <c r="E8" s="14" t="s">
        <v>104</v>
      </c>
      <c r="F8" s="14" t="s">
        <v>105</v>
      </c>
      <c r="G8" s="14" t="s">
        <v>106</v>
      </c>
      <c r="H8" s="14" t="s">
        <v>107</v>
      </c>
      <c r="I8" s="15" t="n">
        <v>45310</v>
      </c>
      <c r="J8" s="15" t="n">
        <v>45466</v>
      </c>
      <c r="K8" s="14" t="s">
        <v>64</v>
      </c>
      <c r="L8" s="16" t="n">
        <v>83600</v>
      </c>
      <c r="M8" s="14" t="str">
        <f aca="false">IFERROR(INDEX('Pipeline Compliance'!$H$2:$H$151,MATCH(B8,'Pipeline Compliance'!$B$2:$B$151,0)),"")</f>
        <v>Tavish Outdoor AG</v>
      </c>
      <c r="N8" s="14" t="str">
        <f aca="false">IF(ISNA(MATCH(B8,'Pipeline Compliance'!$B$2:$B$151,0)),"New","Old")</f>
        <v>Old</v>
      </c>
      <c r="O8" s="14" t="n">
        <f aca="false">IF(H8="Closed Won","",J8-ReportDate)</f>
        <v>-389</v>
      </c>
      <c r="P8" s="14" t="str">
        <f aca="false">IF(H8="Closed Won","closed",IF(O8&lt;0,"past closed",IF(O8&lt;=10,"update","on track")))</f>
        <v>past closed</v>
      </c>
    </row>
    <row r="9" customFormat="false" ht="15" hidden="false" customHeight="false" outlineLevel="0" collapsed="false">
      <c r="A9" s="14" t="s">
        <v>108</v>
      </c>
      <c r="B9" s="14" t="s">
        <v>109</v>
      </c>
      <c r="C9" s="14" t="s">
        <v>67</v>
      </c>
      <c r="D9" s="14" t="s">
        <v>35</v>
      </c>
      <c r="E9" s="14" t="s">
        <v>110</v>
      </c>
      <c r="F9" s="14" t="s">
        <v>111</v>
      </c>
      <c r="G9" s="14" t="s">
        <v>112</v>
      </c>
      <c r="H9" s="14" t="s">
        <v>63</v>
      </c>
      <c r="I9" s="15" t="n">
        <v>45708</v>
      </c>
      <c r="J9" s="15" t="n">
        <v>45854</v>
      </c>
      <c r="K9" s="14" t="s">
        <v>113</v>
      </c>
      <c r="L9" s="16" t="n">
        <v>191500</v>
      </c>
      <c r="M9" s="14" t="str">
        <f aca="false">IFERROR(INDEX('Pipeline Compliance'!$H$2:$H$151,MATCH(B9,'Pipeline Compliance'!$B$2:$B$151,0)),"")</f>
        <v/>
      </c>
      <c r="N9" s="14" t="str">
        <f aca="false">IF(ISNA(MATCH(B9,'Pipeline Compliance'!$B$2:$B$151,0)),"New","Old")</f>
        <v>New</v>
      </c>
      <c r="O9" s="14" t="n">
        <f aca="false">IF(H9="Closed Won","",J9-ReportDate)</f>
        <v>-1</v>
      </c>
      <c r="P9" s="14" t="str">
        <f aca="false">IF(H9="Closed Won","closed",IF(O9&lt;0,"past closed",IF(O9&lt;=10,"update","on track")))</f>
        <v>past closed</v>
      </c>
    </row>
    <row r="10" customFormat="false" ht="15" hidden="false" customHeight="false" outlineLevel="0" collapsed="false">
      <c r="A10" s="14" t="s">
        <v>114</v>
      </c>
      <c r="B10" s="14" t="s">
        <v>115</v>
      </c>
      <c r="C10" s="14" t="s">
        <v>116</v>
      </c>
      <c r="D10" s="14" t="s">
        <v>33</v>
      </c>
      <c r="E10" s="14" t="s">
        <v>117</v>
      </c>
      <c r="F10" s="14" t="s">
        <v>118</v>
      </c>
      <c r="G10" s="14" t="s">
        <v>119</v>
      </c>
      <c r="H10" s="14" t="s">
        <v>63</v>
      </c>
      <c r="I10" s="15" t="n">
        <v>45432</v>
      </c>
      <c r="J10" s="15" t="n">
        <v>45627</v>
      </c>
      <c r="K10" s="14" t="s">
        <v>92</v>
      </c>
      <c r="L10" s="16" t="n">
        <v>52000</v>
      </c>
      <c r="M10" s="14" t="str">
        <f aca="false">IFERROR(INDEX('Pipeline Compliance'!$H$2:$H$151,MATCH(B10,'Pipeline Compliance'!$B$2:$B$151,0)),"")</f>
        <v/>
      </c>
      <c r="N10" s="14" t="str">
        <f aca="false">IF(ISNA(MATCH(B10,'Pipeline Compliance'!$B$2:$B$151,0)),"New","Old")</f>
        <v>New</v>
      </c>
      <c r="O10" s="14" t="n">
        <f aca="false">IF(H10="Closed Won","",J10-ReportDate)</f>
        <v>-228</v>
      </c>
      <c r="P10" s="14" t="str">
        <f aca="false">IF(H10="Closed Won","closed",IF(O10&lt;0,"past closed",IF(O10&lt;=10,"update","on track")))</f>
        <v>past closed</v>
      </c>
    </row>
    <row r="11" customFormat="false" ht="15" hidden="false" customHeight="false" outlineLevel="0" collapsed="false">
      <c r="A11" s="14" t="s">
        <v>120</v>
      </c>
      <c r="B11" s="14" t="s">
        <v>121</v>
      </c>
      <c r="C11" s="14" t="s">
        <v>122</v>
      </c>
      <c r="D11" s="14" t="s">
        <v>32</v>
      </c>
      <c r="E11" s="14" t="s">
        <v>123</v>
      </c>
      <c r="F11" s="14" t="s">
        <v>124</v>
      </c>
      <c r="G11" s="14" t="s">
        <v>125</v>
      </c>
      <c r="H11" s="14" t="s">
        <v>107</v>
      </c>
      <c r="I11" s="15" t="n">
        <v>45396</v>
      </c>
      <c r="J11" s="15" t="n">
        <v>45626</v>
      </c>
      <c r="K11" s="14" t="s">
        <v>92</v>
      </c>
      <c r="L11" s="16" t="n">
        <v>412000</v>
      </c>
      <c r="M11" s="14" t="str">
        <f aca="false">IFERROR(INDEX('Pipeline Compliance'!$H$2:$H$151,MATCH(B11,'Pipeline Compliance'!$B$2:$B$151,0)),"")</f>
        <v>Brook Optics GmbH</v>
      </c>
      <c r="N11" s="14" t="str">
        <f aca="false">IF(ISNA(MATCH(B11,'Pipeline Compliance'!$B$2:$B$151,0)),"New","Old")</f>
        <v>Old</v>
      </c>
      <c r="O11" s="14" t="n">
        <f aca="false">IF(H11="Closed Won","",J11-ReportDate)</f>
        <v>-229</v>
      </c>
      <c r="P11" s="14" t="str">
        <f aca="false">IF(H11="Closed Won","closed",IF(O11&lt;0,"past closed",IF(O11&lt;=10,"update","on track")))</f>
        <v>past closed</v>
      </c>
    </row>
    <row r="12" customFormat="false" ht="15" hidden="false" customHeight="false" outlineLevel="0" collapsed="false">
      <c r="A12" s="14" t="s">
        <v>126</v>
      </c>
      <c r="B12" s="14" t="s">
        <v>127</v>
      </c>
      <c r="C12" s="14" t="s">
        <v>67</v>
      </c>
      <c r="D12" s="14" t="s">
        <v>35</v>
      </c>
      <c r="E12" s="14" t="s">
        <v>128</v>
      </c>
      <c r="F12" s="14" t="s">
        <v>129</v>
      </c>
      <c r="G12" s="14" t="s">
        <v>130</v>
      </c>
      <c r="H12" s="14" t="s">
        <v>63</v>
      </c>
      <c r="I12" s="15" t="n">
        <v>45417</v>
      </c>
      <c r="J12" s="15" t="n">
        <v>45592</v>
      </c>
      <c r="K12" s="14" t="s">
        <v>92</v>
      </c>
      <c r="L12" s="16" t="n">
        <v>37000</v>
      </c>
      <c r="M12" s="14" t="str">
        <f aca="false">IFERROR(INDEX('Pipeline Compliance'!$H$2:$H$151,MATCH(B12,'Pipeline Compliance'!$B$2:$B$151,0)),"")</f>
        <v/>
      </c>
      <c r="N12" s="14" t="str">
        <f aca="false">IF(ISNA(MATCH(B12,'Pipeline Compliance'!$B$2:$B$151,0)),"New","Old")</f>
        <v>New</v>
      </c>
      <c r="O12" s="14" t="n">
        <f aca="false">IF(H12="Closed Won","",J12-ReportDate)</f>
        <v>-263</v>
      </c>
      <c r="P12" s="14" t="str">
        <f aca="false">IF(H12="Closed Won","closed",IF(O12&lt;0,"past closed",IF(O12&lt;=10,"update","on track")))</f>
        <v>past closed</v>
      </c>
    </row>
    <row r="13" customFormat="false" ht="15" hidden="false" customHeight="false" outlineLevel="0" collapsed="false">
      <c r="A13" s="14" t="s">
        <v>131</v>
      </c>
      <c r="B13" s="14" t="s">
        <v>132</v>
      </c>
      <c r="C13" s="14" t="s">
        <v>122</v>
      </c>
      <c r="D13" s="14" t="s">
        <v>32</v>
      </c>
      <c r="E13" s="14" t="s">
        <v>133</v>
      </c>
      <c r="F13" s="14" t="s">
        <v>134</v>
      </c>
      <c r="G13" s="14" t="s">
        <v>135</v>
      </c>
      <c r="H13" s="14" t="s">
        <v>63</v>
      </c>
      <c r="I13" s="15" t="n">
        <v>45551</v>
      </c>
      <c r="J13" s="15" t="n">
        <v>45629</v>
      </c>
      <c r="K13" s="14" t="s">
        <v>92</v>
      </c>
      <c r="L13" s="16" t="n">
        <v>26100</v>
      </c>
      <c r="M13" s="14" t="str">
        <f aca="false">IFERROR(INDEX('Pipeline Compliance'!$H$2:$H$151,MATCH(B13,'Pipeline Compliance'!$B$2:$B$151,0)),"")</f>
        <v>Arden Motors GmbH &amp; Co. KG</v>
      </c>
      <c r="N13" s="14" t="str">
        <f aca="false">IF(ISNA(MATCH(B13,'Pipeline Compliance'!$B$2:$B$151,0)),"New","Old")</f>
        <v>Old</v>
      </c>
      <c r="O13" s="14" t="n">
        <f aca="false">IF(H13="Closed Won","",J13-ReportDate)</f>
        <v>-226</v>
      </c>
      <c r="P13" s="14" t="str">
        <f aca="false">IF(H13="Closed Won","closed",IF(O13&lt;0,"past closed",IF(O13&lt;=10,"update","on track")))</f>
        <v>past closed</v>
      </c>
    </row>
    <row r="14" customFormat="false" ht="15" hidden="false" customHeight="false" outlineLevel="0" collapsed="false">
      <c r="A14" s="14" t="s">
        <v>136</v>
      </c>
      <c r="B14" s="14" t="s">
        <v>137</v>
      </c>
      <c r="C14" s="14" t="s">
        <v>138</v>
      </c>
      <c r="D14" s="14" t="s">
        <v>33</v>
      </c>
      <c r="E14" s="14" t="s">
        <v>139</v>
      </c>
      <c r="F14" s="14" t="s">
        <v>140</v>
      </c>
      <c r="G14" s="14" t="s">
        <v>141</v>
      </c>
      <c r="H14" s="14" t="s">
        <v>107</v>
      </c>
      <c r="I14" s="15" t="n">
        <v>45503</v>
      </c>
      <c r="J14" s="15" t="n">
        <v>45678</v>
      </c>
      <c r="K14" s="14" t="s">
        <v>85</v>
      </c>
      <c r="L14" s="16" t="n">
        <v>214900</v>
      </c>
      <c r="M14" s="14" t="str">
        <f aca="false">IFERROR(INDEX('Pipeline Compliance'!$H$2:$H$151,MATCH(B14,'Pipeline Compliance'!$B$2:$B$151,0)),"")</f>
        <v/>
      </c>
      <c r="N14" s="14" t="str">
        <f aca="false">IF(ISNA(MATCH(B14,'Pipeline Compliance'!$B$2:$B$151,0)),"New","Old")</f>
        <v>New</v>
      </c>
      <c r="O14" s="14" t="n">
        <f aca="false">IF(H14="Closed Won","",J14-ReportDate)</f>
        <v>-177</v>
      </c>
      <c r="P14" s="14" t="str">
        <f aca="false">IF(H14="Closed Won","closed",IF(O14&lt;0,"past closed",IF(O14&lt;=10,"update","on track")))</f>
        <v>past closed</v>
      </c>
    </row>
    <row r="15" customFormat="false" ht="15" hidden="false" customHeight="false" outlineLevel="0" collapsed="false">
      <c r="A15" s="14" t="s">
        <v>142</v>
      </c>
      <c r="B15" s="14" t="s">
        <v>143</v>
      </c>
      <c r="C15" s="14" t="s">
        <v>144</v>
      </c>
      <c r="D15" s="14" t="s">
        <v>34</v>
      </c>
      <c r="E15" s="14" t="s">
        <v>145</v>
      </c>
      <c r="F15" s="14" t="s">
        <v>146</v>
      </c>
      <c r="G15" s="14" t="s">
        <v>147</v>
      </c>
      <c r="H15" s="14" t="s">
        <v>99</v>
      </c>
      <c r="I15" s="15" t="n">
        <v>45626</v>
      </c>
      <c r="J15" s="15" t="n">
        <v>45681</v>
      </c>
      <c r="K15" s="14" t="s">
        <v>85</v>
      </c>
      <c r="L15" s="16" t="n">
        <v>95500</v>
      </c>
      <c r="M15" s="14" t="str">
        <f aca="false">IFERROR(INDEX('Pipeline Compliance'!$H$2:$H$151,MATCH(B15,'Pipeline Compliance'!$B$2:$B$151,0)),"")</f>
        <v/>
      </c>
      <c r="N15" s="14" t="str">
        <f aca="false">IF(ISNA(MATCH(B15,'Pipeline Compliance'!$B$2:$B$151,0)),"New","Old")</f>
        <v>New</v>
      </c>
      <c r="O15" s="14" t="str">
        <f aca="false">IF(H15="Closed Won","",J15-ReportDate)</f>
        <v/>
      </c>
      <c r="P15" s="14" t="str">
        <f aca="false">IF(H15="Closed Won","closed",IF(O15&lt;0,"past closed",IF(O15&lt;=10,"update","on track")))</f>
        <v>closed</v>
      </c>
    </row>
    <row r="16" customFormat="false" ht="15" hidden="false" customHeight="false" outlineLevel="0" collapsed="false">
      <c r="A16" s="14" t="s">
        <v>148</v>
      </c>
      <c r="B16" s="14" t="s">
        <v>149</v>
      </c>
      <c r="C16" s="14" t="s">
        <v>150</v>
      </c>
      <c r="D16" s="14" t="s">
        <v>36</v>
      </c>
      <c r="E16" s="14" t="s">
        <v>151</v>
      </c>
      <c r="F16" s="14" t="s">
        <v>152</v>
      </c>
      <c r="G16" s="14" t="s">
        <v>153</v>
      </c>
      <c r="H16" s="14" t="s">
        <v>107</v>
      </c>
      <c r="I16" s="15" t="n">
        <v>45548</v>
      </c>
      <c r="J16" s="15" t="n">
        <v>45613</v>
      </c>
      <c r="K16" s="14" t="s">
        <v>92</v>
      </c>
      <c r="L16" s="16" t="n">
        <v>46200</v>
      </c>
      <c r="M16" s="14" t="str">
        <f aca="false">IFERROR(INDEX('Pipeline Compliance'!$H$2:$H$151,MATCH(B16,'Pipeline Compliance'!$B$2:$B$151,0)),"")</f>
        <v>Penrose Home S.A.S.</v>
      </c>
      <c r="N16" s="14" t="str">
        <f aca="false">IF(ISNA(MATCH(B16,'Pipeline Compliance'!$B$2:$B$151,0)),"New","Old")</f>
        <v>Old</v>
      </c>
      <c r="O16" s="14" t="n">
        <f aca="false">IF(H16="Closed Won","",J16-ReportDate)</f>
        <v>-242</v>
      </c>
      <c r="P16" s="14" t="str">
        <f aca="false">IF(H16="Closed Won","closed",IF(O16&lt;0,"past closed",IF(O16&lt;=10,"update","on track")))</f>
        <v>past closed</v>
      </c>
    </row>
    <row r="17" customFormat="false" ht="15" hidden="false" customHeight="false" outlineLevel="0" collapsed="false">
      <c r="A17" s="14" t="s">
        <v>154</v>
      </c>
      <c r="B17" s="14" t="s">
        <v>155</v>
      </c>
      <c r="C17" s="14" t="s">
        <v>122</v>
      </c>
      <c r="D17" s="14" t="s">
        <v>32</v>
      </c>
      <c r="E17" s="14" t="s">
        <v>156</v>
      </c>
      <c r="F17" s="14" t="s">
        <v>157</v>
      </c>
      <c r="G17" s="14" t="s">
        <v>158</v>
      </c>
      <c r="H17" s="14" t="s">
        <v>99</v>
      </c>
      <c r="I17" s="15" t="n">
        <v>45751</v>
      </c>
      <c r="J17" s="15" t="n">
        <v>45848</v>
      </c>
      <c r="K17" s="14" t="s">
        <v>113</v>
      </c>
      <c r="L17" s="16" t="n">
        <v>218300</v>
      </c>
      <c r="M17" s="14" t="str">
        <f aca="false">IFERROR(INDEX('Pipeline Compliance'!$H$2:$H$151,MATCH(B17,'Pipeline Compliance'!$B$2:$B$151,0)),"")</f>
        <v/>
      </c>
      <c r="N17" s="14" t="str">
        <f aca="false">IF(ISNA(MATCH(B17,'Pipeline Compliance'!$B$2:$B$151,0)),"New","Old")</f>
        <v>New</v>
      </c>
      <c r="O17" s="14" t="str">
        <f aca="false">IF(H17="Closed Won","",J17-ReportDate)</f>
        <v/>
      </c>
      <c r="P17" s="14" t="str">
        <f aca="false">IF(H17="Closed Won","closed",IF(O17&lt;0,"past closed",IF(O17&lt;=10,"update","on track")))</f>
        <v>closed</v>
      </c>
    </row>
    <row r="18" customFormat="false" ht="15" hidden="false" customHeight="false" outlineLevel="0" collapsed="false">
      <c r="A18" s="14" t="s">
        <v>159</v>
      </c>
      <c r="B18" s="14" t="s">
        <v>160</v>
      </c>
      <c r="C18" s="14" t="s">
        <v>161</v>
      </c>
      <c r="D18" s="14" t="s">
        <v>35</v>
      </c>
      <c r="E18" s="14" t="s">
        <v>162</v>
      </c>
      <c r="F18" s="14" t="s">
        <v>111</v>
      </c>
      <c r="G18" s="14" t="s">
        <v>163</v>
      </c>
      <c r="H18" s="14" t="s">
        <v>107</v>
      </c>
      <c r="I18" s="15" t="n">
        <v>45788</v>
      </c>
      <c r="J18" s="15" t="n">
        <v>45951</v>
      </c>
      <c r="K18" s="14" t="s">
        <v>72</v>
      </c>
      <c r="L18" s="16" t="n">
        <v>168300</v>
      </c>
      <c r="M18" s="14" t="str">
        <f aca="false">IFERROR(INDEX('Pipeline Compliance'!$H$2:$H$151,MATCH(B18,'Pipeline Compliance'!$B$2:$B$151,0)),"")</f>
        <v>Arden Fashion Inc.</v>
      </c>
      <c r="N18" s="14" t="str">
        <f aca="false">IF(ISNA(MATCH(B18,'Pipeline Compliance'!$B$2:$B$151,0)),"New","Old")</f>
        <v>Old</v>
      </c>
      <c r="O18" s="14" t="n">
        <f aca="false">IF(H18="Closed Won","",J18-ReportDate)</f>
        <v>96</v>
      </c>
      <c r="P18" s="14" t="str">
        <f aca="false">IF(H18="Closed Won","closed",IF(O18&lt;0,"past closed",IF(O18&lt;=10,"update","on track")))</f>
        <v>on track</v>
      </c>
    </row>
    <row r="19" customFormat="false" ht="15" hidden="false" customHeight="false" outlineLevel="0" collapsed="false">
      <c r="A19" s="14" t="s">
        <v>164</v>
      </c>
      <c r="B19" s="14" t="s">
        <v>165</v>
      </c>
      <c r="C19" s="14" t="s">
        <v>166</v>
      </c>
      <c r="D19" s="14" t="s">
        <v>32</v>
      </c>
      <c r="E19" s="14" t="s">
        <v>167</v>
      </c>
      <c r="F19" s="14" t="s">
        <v>134</v>
      </c>
      <c r="G19" s="14" t="s">
        <v>168</v>
      </c>
      <c r="H19" s="14" t="s">
        <v>63</v>
      </c>
      <c r="I19" s="15" t="n">
        <v>45731</v>
      </c>
      <c r="J19" s="15" t="n">
        <v>45845</v>
      </c>
      <c r="K19" s="14" t="s">
        <v>113</v>
      </c>
      <c r="L19" s="16" t="n">
        <v>473500</v>
      </c>
      <c r="M19" s="14" t="str">
        <f aca="false">IFERROR(INDEX('Pipeline Compliance'!$H$2:$H$151,MATCH(B19,'Pipeline Compliance'!$B$2:$B$151,0)),"")</f>
        <v>Sable Outdoor s.r.o.</v>
      </c>
      <c r="N19" s="14" t="str">
        <f aca="false">IF(ISNA(MATCH(B19,'Pipeline Compliance'!$B$2:$B$151,0)),"New","Old")</f>
        <v>Old</v>
      </c>
      <c r="O19" s="14" t="n">
        <f aca="false">IF(H19="Closed Won","",J19-ReportDate)</f>
        <v>-10</v>
      </c>
      <c r="P19" s="14" t="str">
        <f aca="false">IF(H19="Closed Won","closed",IF(O19&lt;0,"past closed",IF(O19&lt;=10,"update","on track")))</f>
        <v>past closed</v>
      </c>
    </row>
    <row r="20" customFormat="false" ht="15" hidden="false" customHeight="false" outlineLevel="0" collapsed="false">
      <c r="A20" s="14" t="s">
        <v>169</v>
      </c>
      <c r="B20" s="14" t="s">
        <v>170</v>
      </c>
      <c r="C20" s="14" t="s">
        <v>171</v>
      </c>
      <c r="D20" s="14" t="s">
        <v>33</v>
      </c>
      <c r="E20" s="14" t="s">
        <v>172</v>
      </c>
      <c r="F20" s="14" t="s">
        <v>140</v>
      </c>
      <c r="G20" s="14" t="s">
        <v>173</v>
      </c>
      <c r="H20" s="14" t="s">
        <v>99</v>
      </c>
      <c r="I20" s="15" t="n">
        <v>45811</v>
      </c>
      <c r="J20" s="15" t="n">
        <v>45840</v>
      </c>
      <c r="K20" s="14" t="s">
        <v>113</v>
      </c>
      <c r="L20" s="16" t="n">
        <v>31000</v>
      </c>
      <c r="M20" s="14" t="str">
        <f aca="false">IFERROR(INDEX('Pipeline Compliance'!$H$2:$H$151,MATCH(B20,'Pipeline Compliance'!$B$2:$B$151,0)),"")</f>
        <v>Merrow Living AB</v>
      </c>
      <c r="N20" s="14" t="str">
        <f aca="false">IF(ISNA(MATCH(B20,'Pipeline Compliance'!$B$2:$B$151,0)),"New","Old")</f>
        <v>Old</v>
      </c>
      <c r="O20" s="14" t="str">
        <f aca="false">IF(H20="Closed Won","",J20-ReportDate)</f>
        <v/>
      </c>
      <c r="P20" s="14" t="str">
        <f aca="false">IF(H20="Closed Won","closed",IF(O20&lt;0,"past closed",IF(O20&lt;=10,"update","on track")))</f>
        <v>closed</v>
      </c>
    </row>
    <row r="21" customFormat="false" ht="15" hidden="false" customHeight="false" outlineLevel="0" collapsed="false">
      <c r="A21" s="14" t="s">
        <v>174</v>
      </c>
      <c r="B21" s="14" t="s">
        <v>175</v>
      </c>
      <c r="C21" s="14" t="s">
        <v>116</v>
      </c>
      <c r="D21" s="14" t="s">
        <v>33</v>
      </c>
      <c r="E21" s="14" t="s">
        <v>176</v>
      </c>
      <c r="F21" s="14" t="s">
        <v>140</v>
      </c>
      <c r="G21" s="14" t="s">
        <v>177</v>
      </c>
      <c r="H21" s="14" t="s">
        <v>178</v>
      </c>
      <c r="I21" s="15" t="n">
        <v>45656</v>
      </c>
      <c r="J21" s="15" t="n">
        <v>45922</v>
      </c>
      <c r="K21" s="14" t="s">
        <v>113</v>
      </c>
      <c r="L21" s="16" t="n">
        <v>128400</v>
      </c>
      <c r="M21" s="14" t="str">
        <f aca="false">IFERROR(INDEX('Pipeline Compliance'!$H$2:$H$151,MATCH(B21,'Pipeline Compliance'!$B$2:$B$151,0)),"")</f>
        <v>Quill Outdoor Limited</v>
      </c>
      <c r="N21" s="14" t="str">
        <f aca="false">IF(ISNA(MATCH(B21,'Pipeline Compliance'!$B$2:$B$151,0)),"New","Old")</f>
        <v>Old</v>
      </c>
      <c r="O21" s="14" t="n">
        <f aca="false">IF(H21="Closed Won","",J21-ReportDate)</f>
        <v>67</v>
      </c>
      <c r="P21" s="14" t="str">
        <f aca="false">IF(H21="Closed Won","closed",IF(O21&lt;0,"past closed",IF(O21&lt;=10,"update","on track")))</f>
        <v>on track</v>
      </c>
    </row>
    <row r="22" customFormat="false" ht="15" hidden="false" customHeight="false" outlineLevel="0" collapsed="false">
      <c r="A22" s="14" t="s">
        <v>179</v>
      </c>
      <c r="B22" s="14" t="s">
        <v>180</v>
      </c>
      <c r="C22" s="14" t="s">
        <v>75</v>
      </c>
      <c r="D22" s="14" t="s">
        <v>32</v>
      </c>
      <c r="E22" s="14" t="s">
        <v>181</v>
      </c>
      <c r="F22" s="14" t="s">
        <v>182</v>
      </c>
      <c r="G22" s="14" t="s">
        <v>183</v>
      </c>
      <c r="H22" s="14" t="s">
        <v>99</v>
      </c>
      <c r="I22" s="15" t="n">
        <v>45476</v>
      </c>
      <c r="J22" s="15" t="n">
        <v>45719</v>
      </c>
      <c r="K22" s="14" t="s">
        <v>85</v>
      </c>
      <c r="L22" s="16" t="n">
        <v>237000</v>
      </c>
      <c r="M22" s="14" t="str">
        <f aca="false">IFERROR(INDEX('Pipeline Compliance'!$H$2:$H$151,MATCH(B22,'Pipeline Compliance'!$B$2:$B$151,0)),"")</f>
        <v/>
      </c>
      <c r="N22" s="14" t="str">
        <f aca="false">IF(ISNA(MATCH(B22,'Pipeline Compliance'!$B$2:$B$151,0)),"New","Old")</f>
        <v>New</v>
      </c>
      <c r="O22" s="14" t="str">
        <f aca="false">IF(H22="Closed Won","",J22-ReportDate)</f>
        <v/>
      </c>
      <c r="P22" s="14" t="str">
        <f aca="false">IF(H22="Closed Won","closed",IF(O22&lt;0,"past closed",IF(O22&lt;=10,"update","on track")))</f>
        <v>closed</v>
      </c>
    </row>
    <row r="23" customFormat="false" ht="15" hidden="false" customHeight="false" outlineLevel="0" collapsed="false">
      <c r="A23" s="14" t="s">
        <v>184</v>
      </c>
      <c r="B23" s="14" t="s">
        <v>185</v>
      </c>
      <c r="C23" s="14" t="s">
        <v>95</v>
      </c>
      <c r="D23" s="14" t="s">
        <v>34</v>
      </c>
      <c r="E23" s="14" t="s">
        <v>186</v>
      </c>
      <c r="F23" s="14" t="s">
        <v>187</v>
      </c>
      <c r="G23" s="14" t="s">
        <v>188</v>
      </c>
      <c r="H23" s="14" t="s">
        <v>99</v>
      </c>
      <c r="I23" s="15" t="n">
        <v>45338</v>
      </c>
      <c r="J23" s="15" t="n">
        <v>45501</v>
      </c>
      <c r="K23" s="14" t="s">
        <v>100</v>
      </c>
      <c r="L23" s="16" t="n">
        <v>335500</v>
      </c>
      <c r="M23" s="14" t="str">
        <f aca="false">IFERROR(INDEX('Pipeline Compliance'!$H$2:$H$151,MATCH(B23,'Pipeline Compliance'!$B$2:$B$151,0)),"")</f>
        <v>Wexley Pharma S.p.A.</v>
      </c>
      <c r="N23" s="14" t="str">
        <f aca="false">IF(ISNA(MATCH(B23,'Pipeline Compliance'!$B$2:$B$151,0)),"New","Old")</f>
        <v>Old</v>
      </c>
      <c r="O23" s="14" t="str">
        <f aca="false">IF(H23="Closed Won","",J23-ReportDate)</f>
        <v/>
      </c>
      <c r="P23" s="14" t="str">
        <f aca="false">IF(H23="Closed Won","closed",IF(O23&lt;0,"past closed",IF(O23&lt;=10,"update","on track")))</f>
        <v>closed</v>
      </c>
    </row>
    <row r="24" customFormat="false" ht="15" hidden="false" customHeight="false" outlineLevel="0" collapsed="false">
      <c r="A24" s="14" t="s">
        <v>189</v>
      </c>
      <c r="B24" s="14" t="s">
        <v>190</v>
      </c>
      <c r="C24" s="14" t="s">
        <v>191</v>
      </c>
      <c r="D24" s="14" t="s">
        <v>34</v>
      </c>
      <c r="E24" s="14" t="s">
        <v>192</v>
      </c>
      <c r="F24" s="14" t="s">
        <v>193</v>
      </c>
      <c r="G24" s="14" t="s">
        <v>194</v>
      </c>
      <c r="H24" s="14" t="s">
        <v>63</v>
      </c>
      <c r="I24" s="15" t="n">
        <v>45658</v>
      </c>
      <c r="J24" s="15" t="n">
        <v>45918</v>
      </c>
      <c r="K24" s="14" t="s">
        <v>113</v>
      </c>
      <c r="L24" s="16" t="n">
        <v>397600</v>
      </c>
      <c r="M24" s="14" t="str">
        <f aca="false">IFERROR(INDEX('Pipeline Compliance'!$H$2:$H$151,MATCH(B24,'Pipeline Compliance'!$B$2:$B$151,0)),"")</f>
        <v>Arden Living A.S.</v>
      </c>
      <c r="N24" s="14" t="str">
        <f aca="false">IF(ISNA(MATCH(B24,'Pipeline Compliance'!$B$2:$B$151,0)),"New","Old")</f>
        <v>Old</v>
      </c>
      <c r="O24" s="14" t="n">
        <f aca="false">IF(H24="Closed Won","",J24-ReportDate)</f>
        <v>63</v>
      </c>
      <c r="P24" s="14" t="str">
        <f aca="false">IF(H24="Closed Won","closed",IF(O24&lt;0,"past closed",IF(O24&lt;=10,"update","on track")))</f>
        <v>on track</v>
      </c>
    </row>
    <row r="25" customFormat="false" ht="15" hidden="false" customHeight="false" outlineLevel="0" collapsed="false">
      <c r="A25" s="14" t="s">
        <v>195</v>
      </c>
      <c r="B25" s="14" t="s">
        <v>196</v>
      </c>
      <c r="C25" s="14" t="s">
        <v>191</v>
      </c>
      <c r="D25" s="14" t="s">
        <v>34</v>
      </c>
      <c r="E25" s="14" t="s">
        <v>197</v>
      </c>
      <c r="F25" s="14" t="s">
        <v>187</v>
      </c>
      <c r="G25" s="14" t="s">
        <v>198</v>
      </c>
      <c r="H25" s="14" t="s">
        <v>71</v>
      </c>
      <c r="I25" s="15" t="n">
        <v>45544</v>
      </c>
      <c r="J25" s="15" t="n">
        <v>45702</v>
      </c>
      <c r="K25" s="14" t="s">
        <v>85</v>
      </c>
      <c r="L25" s="16" t="n">
        <v>156200</v>
      </c>
      <c r="M25" s="14" t="str">
        <f aca="false">IFERROR(INDEX('Pipeline Compliance'!$H$2:$H$151,MATCH(B25,'Pipeline Compliance'!$B$2:$B$151,0)),"")</f>
        <v>Holloway Travel A.S.</v>
      </c>
      <c r="N25" s="14" t="str">
        <f aca="false">IF(ISNA(MATCH(B25,'Pipeline Compliance'!$B$2:$B$151,0)),"New","Old")</f>
        <v>Old</v>
      </c>
      <c r="O25" s="14" t="n">
        <f aca="false">IF(H25="Closed Won","",J25-ReportDate)</f>
        <v>-153</v>
      </c>
      <c r="P25" s="14" t="str">
        <f aca="false">IF(H25="Closed Won","closed",IF(O25&lt;0,"past closed",IF(O25&lt;=10,"update","on track")))</f>
        <v>past closed</v>
      </c>
    </row>
    <row r="26" customFormat="false" ht="15" hidden="false" customHeight="false" outlineLevel="0" collapsed="false">
      <c r="A26" s="14" t="s">
        <v>199</v>
      </c>
      <c r="B26" s="14" t="s">
        <v>200</v>
      </c>
      <c r="C26" s="14" t="s">
        <v>161</v>
      </c>
      <c r="D26" s="14" t="s">
        <v>35</v>
      </c>
      <c r="E26" s="14" t="s">
        <v>201</v>
      </c>
      <c r="F26" s="14" t="s">
        <v>129</v>
      </c>
      <c r="G26" s="14" t="s">
        <v>202</v>
      </c>
      <c r="H26" s="14" t="s">
        <v>107</v>
      </c>
      <c r="I26" s="15" t="n">
        <v>45574</v>
      </c>
      <c r="J26" s="15" t="n">
        <v>45754</v>
      </c>
      <c r="K26" s="14" t="s">
        <v>203</v>
      </c>
      <c r="L26" s="16" t="n">
        <v>20900</v>
      </c>
      <c r="M26" s="14" t="str">
        <f aca="false">IFERROR(INDEX('Pipeline Compliance'!$H$2:$H$151,MATCH(B26,'Pipeline Compliance'!$B$2:$B$151,0)),"")</f>
        <v>Carrow Foods Inc.</v>
      </c>
      <c r="N26" s="14" t="str">
        <f aca="false">IF(ISNA(MATCH(B26,'Pipeline Compliance'!$B$2:$B$151,0)),"New","Old")</f>
        <v>Old</v>
      </c>
      <c r="O26" s="14" t="n">
        <f aca="false">IF(H26="Closed Won","",J26-ReportDate)</f>
        <v>-101</v>
      </c>
      <c r="P26" s="14" t="str">
        <f aca="false">IF(H26="Closed Won","closed",IF(O26&lt;0,"past closed",IF(O26&lt;=10,"update","on track")))</f>
        <v>past closed</v>
      </c>
    </row>
    <row r="27" customFormat="false" ht="15" hidden="false" customHeight="false" outlineLevel="0" collapsed="false">
      <c r="A27" s="14" t="s">
        <v>204</v>
      </c>
      <c r="B27" s="14" t="s">
        <v>205</v>
      </c>
      <c r="C27" s="14" t="s">
        <v>150</v>
      </c>
      <c r="D27" s="14" t="s">
        <v>36</v>
      </c>
      <c r="E27" s="14" t="s">
        <v>206</v>
      </c>
      <c r="F27" s="14" t="s">
        <v>152</v>
      </c>
      <c r="G27" s="14" t="s">
        <v>207</v>
      </c>
      <c r="H27" s="14" t="s">
        <v>107</v>
      </c>
      <c r="I27" s="15" t="n">
        <v>45595</v>
      </c>
      <c r="J27" s="15" t="n">
        <v>45787</v>
      </c>
      <c r="K27" s="14" t="s">
        <v>203</v>
      </c>
      <c r="L27" s="16" t="n">
        <v>204700</v>
      </c>
      <c r="M27" s="14" t="str">
        <f aca="false">IFERROR(INDEX('Pipeline Compliance'!$H$2:$H$151,MATCH(B27,'Pipeline Compliance'!$B$2:$B$151,0)),"")</f>
        <v/>
      </c>
      <c r="N27" s="14" t="str">
        <f aca="false">IF(ISNA(MATCH(B27,'Pipeline Compliance'!$B$2:$B$151,0)),"New","Old")</f>
        <v>New</v>
      </c>
      <c r="O27" s="14" t="n">
        <f aca="false">IF(H27="Closed Won","",J27-ReportDate)</f>
        <v>-68</v>
      </c>
      <c r="P27" s="14" t="str">
        <f aca="false">IF(H27="Closed Won","closed",IF(O27&lt;0,"past closed",IF(O27&lt;=10,"update","on track")))</f>
        <v>past closed</v>
      </c>
    </row>
    <row r="28" customFormat="false" ht="15" hidden="false" customHeight="false" outlineLevel="0" collapsed="false">
      <c r="A28" s="14" t="s">
        <v>208</v>
      </c>
      <c r="B28" s="14" t="s">
        <v>209</v>
      </c>
      <c r="C28" s="14" t="s">
        <v>166</v>
      </c>
      <c r="D28" s="14" t="s">
        <v>32</v>
      </c>
      <c r="E28" s="14" t="s">
        <v>210</v>
      </c>
      <c r="F28" s="14" t="s">
        <v>211</v>
      </c>
      <c r="G28" s="14" t="s">
        <v>212</v>
      </c>
      <c r="H28" s="14" t="s">
        <v>99</v>
      </c>
      <c r="I28" s="15" t="n">
        <v>45578</v>
      </c>
      <c r="J28" s="15" t="n">
        <v>45631</v>
      </c>
      <c r="K28" s="14" t="s">
        <v>92</v>
      </c>
      <c r="L28" s="16" t="n">
        <v>21000</v>
      </c>
      <c r="M28" s="14" t="str">
        <f aca="false">IFERROR(INDEX('Pipeline Compliance'!$H$2:$H$151,MATCH(B28,'Pipeline Compliance'!$B$2:$B$151,0)),"")</f>
        <v>Dunmore Sport s.r.o.</v>
      </c>
      <c r="N28" s="14" t="str">
        <f aca="false">IF(ISNA(MATCH(B28,'Pipeline Compliance'!$B$2:$B$151,0)),"New","Old")</f>
        <v>Old</v>
      </c>
      <c r="O28" s="14" t="str">
        <f aca="false">IF(H28="Closed Won","",J28-ReportDate)</f>
        <v/>
      </c>
      <c r="P28" s="14" t="str">
        <f aca="false">IF(H28="Closed Won","closed",IF(O28&lt;0,"past closed",IF(O28&lt;=10,"update","on track")))</f>
        <v>closed</v>
      </c>
    </row>
    <row r="29" customFormat="false" ht="15" hidden="false" customHeight="false" outlineLevel="0" collapsed="false">
      <c r="A29" s="14" t="s">
        <v>213</v>
      </c>
      <c r="B29" s="14" t="s">
        <v>214</v>
      </c>
      <c r="C29" s="14" t="s">
        <v>215</v>
      </c>
      <c r="D29" s="14" t="s">
        <v>38</v>
      </c>
      <c r="E29" s="14" t="s">
        <v>216</v>
      </c>
      <c r="F29" s="14" t="s">
        <v>217</v>
      </c>
      <c r="G29" s="14" t="s">
        <v>218</v>
      </c>
      <c r="H29" s="14" t="s">
        <v>178</v>
      </c>
      <c r="I29" s="15" t="n">
        <v>45703</v>
      </c>
      <c r="J29" s="15" t="n">
        <v>45893</v>
      </c>
      <c r="K29" s="14" t="s">
        <v>113</v>
      </c>
      <c r="L29" s="16" t="n">
        <v>146000</v>
      </c>
      <c r="M29" s="14" t="str">
        <f aca="false">IFERROR(INDEX('Pipeline Compliance'!$H$2:$H$151,MATCH(B29,'Pipeline Compliance'!$B$2:$B$151,0)),"")</f>
        <v/>
      </c>
      <c r="N29" s="14" t="str">
        <f aca="false">IF(ISNA(MATCH(B29,'Pipeline Compliance'!$B$2:$B$151,0)),"New","Old")</f>
        <v>New</v>
      </c>
      <c r="O29" s="14" t="n">
        <f aca="false">IF(H29="Closed Won","",J29-ReportDate)</f>
        <v>38</v>
      </c>
      <c r="P29" s="14" t="str">
        <f aca="false">IF(H29="Closed Won","closed",IF(O29&lt;0,"past closed",IF(O29&lt;=10,"update","on track")))</f>
        <v>on track</v>
      </c>
    </row>
    <row r="30" customFormat="false" ht="15" hidden="false" customHeight="false" outlineLevel="0" collapsed="false">
      <c r="A30" s="14" t="s">
        <v>219</v>
      </c>
      <c r="B30" s="14" t="s">
        <v>220</v>
      </c>
      <c r="C30" s="14" t="s">
        <v>171</v>
      </c>
      <c r="D30" s="14" t="s">
        <v>33</v>
      </c>
      <c r="E30" s="14" t="s">
        <v>221</v>
      </c>
      <c r="F30" s="14" t="s">
        <v>222</v>
      </c>
      <c r="G30" s="14" t="s">
        <v>223</v>
      </c>
      <c r="H30" s="14" t="s">
        <v>224</v>
      </c>
      <c r="I30" s="15" t="n">
        <v>45301</v>
      </c>
      <c r="J30" s="15" t="n">
        <v>45404</v>
      </c>
      <c r="K30" s="14" t="s">
        <v>64</v>
      </c>
      <c r="L30" s="16" t="n">
        <v>218500</v>
      </c>
      <c r="M30" s="14" t="str">
        <f aca="false">IFERROR(INDEX('Pipeline Compliance'!$H$2:$H$151,MATCH(B30,'Pipeline Compliance'!$B$2:$B$151,0)),"")</f>
        <v/>
      </c>
      <c r="N30" s="14" t="str">
        <f aca="false">IF(ISNA(MATCH(B30,'Pipeline Compliance'!$B$2:$B$151,0)),"New","Old")</f>
        <v>New</v>
      </c>
      <c r="O30" s="14" t="n">
        <f aca="false">IF(H30="Closed Won","",J30-ReportDate)</f>
        <v>-451</v>
      </c>
      <c r="P30" s="14" t="str">
        <f aca="false">IF(H30="Closed Won","closed",IF(O30&lt;0,"past closed",IF(O30&lt;=10,"update","on track")))</f>
        <v>past closed</v>
      </c>
    </row>
    <row r="31" customFormat="false" ht="15" hidden="false" customHeight="false" outlineLevel="0" collapsed="false">
      <c r="A31" s="14" t="s">
        <v>225</v>
      </c>
      <c r="B31" s="14" t="s">
        <v>226</v>
      </c>
      <c r="C31" s="14" t="s">
        <v>227</v>
      </c>
      <c r="D31" s="14" t="s">
        <v>37</v>
      </c>
      <c r="E31" s="14" t="s">
        <v>228</v>
      </c>
      <c r="F31" s="14" t="s">
        <v>61</v>
      </c>
      <c r="G31" s="14" t="s">
        <v>229</v>
      </c>
      <c r="H31" s="14" t="s">
        <v>107</v>
      </c>
      <c r="I31" s="15" t="n">
        <v>45643</v>
      </c>
      <c r="J31" s="15" t="n">
        <v>45777</v>
      </c>
      <c r="K31" s="14" t="s">
        <v>203</v>
      </c>
      <c r="L31" s="16" t="n">
        <v>31500</v>
      </c>
      <c r="M31" s="14" t="str">
        <f aca="false">IFERROR(INDEX('Pipeline Compliance'!$H$2:$H$151,MATCH(B31,'Pipeline Compliance'!$B$2:$B$151,0)),"")</f>
        <v>Dunmore Beauty Co., Ltd</v>
      </c>
      <c r="N31" s="14" t="str">
        <f aca="false">IF(ISNA(MATCH(B31,'Pipeline Compliance'!$B$2:$B$151,0)),"New","Old")</f>
        <v>Old</v>
      </c>
      <c r="O31" s="14" t="n">
        <f aca="false">IF(H31="Closed Won","",J31-ReportDate)</f>
        <v>-78</v>
      </c>
      <c r="P31" s="14" t="str">
        <f aca="false">IF(H31="Closed Won","closed",IF(O31&lt;0,"past closed",IF(O31&lt;=10,"update","on track")))</f>
        <v>past closed</v>
      </c>
    </row>
    <row r="32" customFormat="false" ht="15" hidden="false" customHeight="false" outlineLevel="0" collapsed="false">
      <c r="A32" s="14" t="s">
        <v>230</v>
      </c>
      <c r="B32" s="14" t="s">
        <v>231</v>
      </c>
      <c r="C32" s="14" t="s">
        <v>138</v>
      </c>
      <c r="D32" s="14" t="s">
        <v>33</v>
      </c>
      <c r="E32" s="14" t="s">
        <v>232</v>
      </c>
      <c r="F32" s="14" t="s">
        <v>140</v>
      </c>
      <c r="G32" s="14" t="s">
        <v>233</v>
      </c>
      <c r="H32" s="14" t="s">
        <v>63</v>
      </c>
      <c r="I32" s="15" t="n">
        <v>45687</v>
      </c>
      <c r="J32" s="15" t="n">
        <v>45874</v>
      </c>
      <c r="K32" s="14" t="s">
        <v>113</v>
      </c>
      <c r="L32" s="16" t="n">
        <v>34300</v>
      </c>
      <c r="M32" s="14" t="str">
        <f aca="false">IFERROR(INDEX('Pipeline Compliance'!$H$2:$H$151,MATCH(B32,'Pipeline Compliance'!$B$2:$B$151,0)),"")</f>
        <v>Sable Media A/S</v>
      </c>
      <c r="N32" s="14" t="str">
        <f aca="false">IF(ISNA(MATCH(B32,'Pipeline Compliance'!$B$2:$B$151,0)),"New","Old")</f>
        <v>Old</v>
      </c>
      <c r="O32" s="14" t="n">
        <f aca="false">IF(H32="Closed Won","",J32-ReportDate)</f>
        <v>19</v>
      </c>
      <c r="P32" s="14" t="str">
        <f aca="false">IF(H32="Closed Won","closed",IF(O32&lt;0,"past closed",IF(O32&lt;=10,"update","on track")))</f>
        <v>on track</v>
      </c>
    </row>
    <row r="33" customFormat="false" ht="15" hidden="false" customHeight="false" outlineLevel="0" collapsed="false">
      <c r="A33" s="14" t="s">
        <v>234</v>
      </c>
      <c r="B33" s="14" t="s">
        <v>235</v>
      </c>
      <c r="C33" s="14" t="s">
        <v>59</v>
      </c>
      <c r="D33" s="14" t="s">
        <v>37</v>
      </c>
      <c r="E33" s="14" t="s">
        <v>236</v>
      </c>
      <c r="F33" s="14" t="s">
        <v>237</v>
      </c>
      <c r="G33" s="14" t="s">
        <v>238</v>
      </c>
      <c r="H33" s="14" t="s">
        <v>63</v>
      </c>
      <c r="I33" s="15" t="n">
        <v>45785</v>
      </c>
      <c r="J33" s="15" t="n">
        <v>45987</v>
      </c>
      <c r="K33" s="14" t="s">
        <v>72</v>
      </c>
      <c r="L33" s="16" t="n">
        <v>24700</v>
      </c>
      <c r="M33" s="14" t="str">
        <f aca="false">IFERROR(INDEX('Pipeline Compliance'!$H$2:$H$151,MATCH(B33,'Pipeline Compliance'!$B$2:$B$151,0)),"")</f>
        <v>Corvale Brands Limited</v>
      </c>
      <c r="N33" s="14" t="str">
        <f aca="false">IF(ISNA(MATCH(B33,'Pipeline Compliance'!$B$2:$B$151,0)),"New","Old")</f>
        <v>Old</v>
      </c>
      <c r="O33" s="14" t="n">
        <f aca="false">IF(H33="Closed Won","",J33-ReportDate)</f>
        <v>132</v>
      </c>
      <c r="P33" s="14" t="str">
        <f aca="false">IF(H33="Closed Won","closed",IF(O33&lt;0,"past closed",IF(O33&lt;=10,"update","on track")))</f>
        <v>on track</v>
      </c>
    </row>
    <row r="34" customFormat="false" ht="15" hidden="false" customHeight="false" outlineLevel="0" collapsed="false">
      <c r="A34" s="14" t="s">
        <v>239</v>
      </c>
      <c r="B34" s="14" t="s">
        <v>240</v>
      </c>
      <c r="C34" s="14" t="s">
        <v>75</v>
      </c>
      <c r="D34" s="14" t="s">
        <v>32</v>
      </c>
      <c r="E34" s="14" t="s">
        <v>241</v>
      </c>
      <c r="F34" s="14" t="s">
        <v>124</v>
      </c>
      <c r="G34" s="14" t="s">
        <v>242</v>
      </c>
      <c r="H34" s="14" t="s">
        <v>107</v>
      </c>
      <c r="I34" s="15" t="n">
        <v>45389</v>
      </c>
      <c r="J34" s="15" t="n">
        <v>45487</v>
      </c>
      <c r="K34" s="14" t="s">
        <v>100</v>
      </c>
      <c r="L34" s="16" t="n">
        <v>25100</v>
      </c>
      <c r="M34" s="14" t="str">
        <f aca="false">IFERROR(INDEX('Pipeline Compliance'!$H$2:$H$151,MATCH(B34,'Pipeline Compliance'!$B$2:$B$151,0)),"")</f>
        <v>North Wine GmbH &amp; Co. KG</v>
      </c>
      <c r="N34" s="14" t="str">
        <f aca="false">IF(ISNA(MATCH(B34,'Pipeline Compliance'!$B$2:$B$151,0)),"New","Old")</f>
        <v>Old</v>
      </c>
      <c r="O34" s="14" t="n">
        <f aca="false">IF(H34="Closed Won","",J34-ReportDate)</f>
        <v>-368</v>
      </c>
      <c r="P34" s="14" t="str">
        <f aca="false">IF(H34="Closed Won","closed",IF(O34&lt;0,"past closed",IF(O34&lt;=10,"update","on track")))</f>
        <v>past closed</v>
      </c>
    </row>
    <row r="35" customFormat="false" ht="15" hidden="false" customHeight="false" outlineLevel="0" collapsed="false">
      <c r="A35" s="14" t="s">
        <v>243</v>
      </c>
      <c r="B35" s="14" t="s">
        <v>244</v>
      </c>
      <c r="C35" s="14" t="s">
        <v>122</v>
      </c>
      <c r="D35" s="14" t="s">
        <v>32</v>
      </c>
      <c r="E35" s="14" t="s">
        <v>245</v>
      </c>
      <c r="F35" s="14" t="s">
        <v>157</v>
      </c>
      <c r="G35" s="14" t="s">
        <v>246</v>
      </c>
      <c r="H35" s="14" t="s">
        <v>63</v>
      </c>
      <c r="I35" s="15" t="n">
        <v>45446</v>
      </c>
      <c r="J35" s="15" t="n">
        <v>45632</v>
      </c>
      <c r="K35" s="14" t="s">
        <v>92</v>
      </c>
      <c r="L35" s="16" t="n">
        <v>293600</v>
      </c>
      <c r="M35" s="14" t="str">
        <f aca="false">IFERROR(INDEX('Pipeline Compliance'!$H$2:$H$151,MATCH(B35,'Pipeline Compliance'!$B$2:$B$151,0)),"")</f>
        <v>Halden Travel GmbH</v>
      </c>
      <c r="N35" s="14" t="str">
        <f aca="false">IF(ISNA(MATCH(B35,'Pipeline Compliance'!$B$2:$B$151,0)),"New","Old")</f>
        <v>Old</v>
      </c>
      <c r="O35" s="14" t="n">
        <f aca="false">IF(H35="Closed Won","",J35-ReportDate)</f>
        <v>-223</v>
      </c>
      <c r="P35" s="14" t="str">
        <f aca="false">IF(H35="Closed Won","closed",IF(O35&lt;0,"past closed",IF(O35&lt;=10,"update","on track")))</f>
        <v>past closed</v>
      </c>
    </row>
    <row r="36" customFormat="false" ht="15" hidden="false" customHeight="false" outlineLevel="0" collapsed="false">
      <c r="A36" s="14" t="s">
        <v>247</v>
      </c>
      <c r="B36" s="14" t="s">
        <v>248</v>
      </c>
      <c r="C36" s="14" t="s">
        <v>161</v>
      </c>
      <c r="D36" s="14" t="s">
        <v>35</v>
      </c>
      <c r="E36" s="14" t="s">
        <v>249</v>
      </c>
      <c r="F36" s="14" t="s">
        <v>250</v>
      </c>
      <c r="G36" s="14" t="s">
        <v>251</v>
      </c>
      <c r="H36" s="14" t="s">
        <v>178</v>
      </c>
      <c r="I36" s="15" t="n">
        <v>45471</v>
      </c>
      <c r="J36" s="15" t="n">
        <v>45746</v>
      </c>
      <c r="K36" s="14" t="s">
        <v>85</v>
      </c>
      <c r="L36" s="16" t="n">
        <v>91300</v>
      </c>
      <c r="M36" s="14" t="str">
        <f aca="false">IFERROR(INDEX('Pipeline Compliance'!$H$2:$H$151,MATCH(B36,'Pipeline Compliance'!$B$2:$B$151,0)),"")</f>
        <v/>
      </c>
      <c r="N36" s="14" t="str">
        <f aca="false">IF(ISNA(MATCH(B36,'Pipeline Compliance'!$B$2:$B$151,0)),"New","Old")</f>
        <v>New</v>
      </c>
      <c r="O36" s="14" t="n">
        <f aca="false">IF(H36="Closed Won","",J36-ReportDate)</f>
        <v>-109</v>
      </c>
      <c r="P36" s="14" t="str">
        <f aca="false">IF(H36="Closed Won","closed",IF(O36&lt;0,"past closed",IF(O36&lt;=10,"update","on track")))</f>
        <v>past closed</v>
      </c>
    </row>
    <row r="37" customFormat="false" ht="15" hidden="false" customHeight="false" outlineLevel="0" collapsed="false">
      <c r="A37" s="14" t="s">
        <v>252</v>
      </c>
      <c r="B37" s="14" t="s">
        <v>253</v>
      </c>
      <c r="C37" s="14" t="s">
        <v>161</v>
      </c>
      <c r="D37" s="14" t="s">
        <v>35</v>
      </c>
      <c r="E37" s="14" t="s">
        <v>254</v>
      </c>
      <c r="F37" s="14" t="s">
        <v>111</v>
      </c>
      <c r="G37" s="14" t="s">
        <v>255</v>
      </c>
      <c r="H37" s="14" t="s">
        <v>178</v>
      </c>
      <c r="I37" s="15" t="n">
        <v>45392</v>
      </c>
      <c r="J37" s="15" t="n">
        <v>45612</v>
      </c>
      <c r="K37" s="14" t="s">
        <v>92</v>
      </c>
      <c r="L37" s="16" t="n">
        <v>58000</v>
      </c>
      <c r="M37" s="14" t="str">
        <f aca="false">IFERROR(INDEX('Pipeline Compliance'!$H$2:$H$151,MATCH(B37,'Pipeline Compliance'!$B$2:$B$151,0)),"")</f>
        <v>Alder Pharma Inc.</v>
      </c>
      <c r="N37" s="14" t="str">
        <f aca="false">IF(ISNA(MATCH(B37,'Pipeline Compliance'!$B$2:$B$151,0)),"New","Old")</f>
        <v>Old</v>
      </c>
      <c r="O37" s="14" t="n">
        <f aca="false">IF(H37="Closed Won","",J37-ReportDate)</f>
        <v>-243</v>
      </c>
      <c r="P37" s="14" t="str">
        <f aca="false">IF(H37="Closed Won","closed",IF(O37&lt;0,"past closed",IF(O37&lt;=10,"update","on track")))</f>
        <v>past closed</v>
      </c>
    </row>
    <row r="38" customFormat="false" ht="15" hidden="false" customHeight="false" outlineLevel="0" collapsed="false">
      <c r="A38" s="14" t="s">
        <v>256</v>
      </c>
      <c r="B38" s="14" t="s">
        <v>257</v>
      </c>
      <c r="C38" s="14" t="s">
        <v>161</v>
      </c>
      <c r="D38" s="14" t="s">
        <v>35</v>
      </c>
      <c r="E38" s="14" t="s">
        <v>258</v>
      </c>
      <c r="F38" s="14" t="s">
        <v>111</v>
      </c>
      <c r="G38" s="14" t="s">
        <v>259</v>
      </c>
      <c r="H38" s="14" t="s">
        <v>71</v>
      </c>
      <c r="I38" s="15" t="n">
        <v>45625</v>
      </c>
      <c r="J38" s="15" t="n">
        <v>45729</v>
      </c>
      <c r="K38" s="14" t="s">
        <v>85</v>
      </c>
      <c r="L38" s="16" t="n">
        <v>496700</v>
      </c>
      <c r="M38" s="14" t="n">
        <f aca="false">IFERROR(INDEX('Pipeline Compliance'!$H$2:$H$151,MATCH(B38,'Pipeline Compliance'!$B$2:$B$151,0)),"")</f>
        <v>0</v>
      </c>
      <c r="N38" s="14" t="str">
        <f aca="false">IF(ISNA(MATCH(B38,'Pipeline Compliance'!$B$2:$B$151,0)),"New","Old")</f>
        <v>Old</v>
      </c>
      <c r="O38" s="14" t="n">
        <f aca="false">IF(H38="Closed Won","",J38-ReportDate)</f>
        <v>-126</v>
      </c>
      <c r="P38" s="14" t="str">
        <f aca="false">IF(H38="Closed Won","closed",IF(O38&lt;0,"past closed",IF(O38&lt;=10,"update","on track")))</f>
        <v>past closed</v>
      </c>
    </row>
    <row r="39" customFormat="false" ht="15" hidden="false" customHeight="false" outlineLevel="0" collapsed="false">
      <c r="A39" s="14" t="s">
        <v>260</v>
      </c>
      <c r="B39" s="14" t="s">
        <v>261</v>
      </c>
      <c r="C39" s="14" t="s">
        <v>262</v>
      </c>
      <c r="D39" s="14" t="s">
        <v>38</v>
      </c>
      <c r="E39" s="14" t="s">
        <v>263</v>
      </c>
      <c r="F39" s="14" t="s">
        <v>264</v>
      </c>
      <c r="G39" s="14" t="s">
        <v>265</v>
      </c>
      <c r="H39" s="14" t="s">
        <v>71</v>
      </c>
      <c r="I39" s="15" t="n">
        <v>45456</v>
      </c>
      <c r="J39" s="15" t="n">
        <v>45541</v>
      </c>
      <c r="K39" s="14" t="s">
        <v>100</v>
      </c>
      <c r="L39" s="16" t="n">
        <v>24600</v>
      </c>
      <c r="M39" s="14" t="str">
        <f aca="false">IFERROR(INDEX('Pipeline Compliance'!$H$2:$H$151,MATCH(B39,'Pipeline Compliance'!$B$2:$B$151,0)),"")</f>
        <v>Oriel Foods Pte Ltd</v>
      </c>
      <c r="N39" s="14" t="str">
        <f aca="false">IF(ISNA(MATCH(B39,'Pipeline Compliance'!$B$2:$B$151,0)),"New","Old")</f>
        <v>Old</v>
      </c>
      <c r="O39" s="14" t="n">
        <f aca="false">IF(H39="Closed Won","",J39-ReportDate)</f>
        <v>-314</v>
      </c>
      <c r="P39" s="14" t="str">
        <f aca="false">IF(H39="Closed Won","closed",IF(O39&lt;0,"past closed",IF(O39&lt;=10,"update","on track")))</f>
        <v>past closed</v>
      </c>
    </row>
    <row r="40" customFormat="false" ht="15" hidden="false" customHeight="false" outlineLevel="0" collapsed="false">
      <c r="A40" s="14" t="s">
        <v>266</v>
      </c>
      <c r="B40" s="14" t="s">
        <v>267</v>
      </c>
      <c r="C40" s="14" t="s">
        <v>161</v>
      </c>
      <c r="D40" s="14" t="s">
        <v>35</v>
      </c>
      <c r="E40" s="14" t="s">
        <v>268</v>
      </c>
      <c r="F40" s="14" t="s">
        <v>69</v>
      </c>
      <c r="G40" s="14" t="s">
        <v>269</v>
      </c>
      <c r="H40" s="14" t="s">
        <v>63</v>
      </c>
      <c r="I40" s="15" t="n">
        <v>45773</v>
      </c>
      <c r="J40" s="15" t="n">
        <v>46056</v>
      </c>
      <c r="K40" s="14" t="s">
        <v>270</v>
      </c>
      <c r="L40" s="16" t="n">
        <v>513900</v>
      </c>
      <c r="M40" s="14" t="str">
        <f aca="false">IFERROR(INDEX('Pipeline Compliance'!$H$2:$H$151,MATCH(B40,'Pipeline Compliance'!$B$2:$B$151,0)),"")</f>
        <v/>
      </c>
      <c r="N40" s="14" t="str">
        <f aca="false">IF(ISNA(MATCH(B40,'Pipeline Compliance'!$B$2:$B$151,0)),"New","Old")</f>
        <v>New</v>
      </c>
      <c r="O40" s="14" t="n">
        <f aca="false">IF(H40="Closed Won","",J40-ReportDate)</f>
        <v>201</v>
      </c>
      <c r="P40" s="14" t="str">
        <f aca="false">IF(H40="Closed Won","closed",IF(O40&lt;0,"past closed",IF(O40&lt;=10,"update","on track")))</f>
        <v>on track</v>
      </c>
    </row>
    <row r="41" customFormat="false" ht="15" hidden="false" customHeight="false" outlineLevel="0" collapsed="false">
      <c r="A41" s="14" t="s">
        <v>271</v>
      </c>
      <c r="B41" s="14" t="s">
        <v>272</v>
      </c>
      <c r="C41" s="14" t="s">
        <v>81</v>
      </c>
      <c r="D41" s="14" t="s">
        <v>38</v>
      </c>
      <c r="E41" s="14" t="s">
        <v>273</v>
      </c>
      <c r="F41" s="14" t="s">
        <v>217</v>
      </c>
      <c r="G41" s="14" t="s">
        <v>274</v>
      </c>
      <c r="H41" s="14" t="s">
        <v>63</v>
      </c>
      <c r="I41" s="15" t="n">
        <v>45366</v>
      </c>
      <c r="J41" s="15" t="n">
        <v>45608</v>
      </c>
      <c r="K41" s="14" t="s">
        <v>92</v>
      </c>
      <c r="L41" s="16" t="n">
        <v>84300</v>
      </c>
      <c r="M41" s="14" t="str">
        <f aca="false">IFERROR(INDEX('Pipeline Compliance'!$H$2:$H$151,MATCH(B41,'Pipeline Compliance'!$B$2:$B$151,0)),"")</f>
        <v>Oriel Pharma Pty Ltd</v>
      </c>
      <c r="N41" s="14" t="str">
        <f aca="false">IF(ISNA(MATCH(B41,'Pipeline Compliance'!$B$2:$B$151,0)),"New","Old")</f>
        <v>Old</v>
      </c>
      <c r="O41" s="14" t="n">
        <f aca="false">IF(H41="Closed Won","",J41-ReportDate)</f>
        <v>-247</v>
      </c>
      <c r="P41" s="14" t="str">
        <f aca="false">IF(H41="Closed Won","closed",IF(O41&lt;0,"past closed",IF(O41&lt;=10,"update","on track")))</f>
        <v>past closed</v>
      </c>
    </row>
    <row r="42" customFormat="false" ht="15" hidden="false" customHeight="false" outlineLevel="0" collapsed="false">
      <c r="A42" s="14" t="s">
        <v>275</v>
      </c>
      <c r="B42" s="14" t="s">
        <v>276</v>
      </c>
      <c r="C42" s="14" t="s">
        <v>144</v>
      </c>
      <c r="D42" s="14" t="s">
        <v>34</v>
      </c>
      <c r="E42" s="14" t="s">
        <v>277</v>
      </c>
      <c r="F42" s="14" t="s">
        <v>278</v>
      </c>
      <c r="G42" s="14" t="s">
        <v>279</v>
      </c>
      <c r="H42" s="14" t="s">
        <v>107</v>
      </c>
      <c r="I42" s="15" t="n">
        <v>45632</v>
      </c>
      <c r="J42" s="15" t="n">
        <v>45890</v>
      </c>
      <c r="K42" s="14" t="s">
        <v>113</v>
      </c>
      <c r="L42" s="16" t="n">
        <v>214100</v>
      </c>
      <c r="M42" s="14" t="str">
        <f aca="false">IFERROR(INDEX('Pipeline Compliance'!$H$2:$H$151,MATCH(B42,'Pipeline Compliance'!$B$2:$B$151,0)),"")</f>
        <v>Merrow Wine LLC</v>
      </c>
      <c r="N42" s="14" t="str">
        <f aca="false">IF(ISNA(MATCH(B42,'Pipeline Compliance'!$B$2:$B$151,0)),"New","Old")</f>
        <v>Old</v>
      </c>
      <c r="O42" s="14" t="n">
        <f aca="false">IF(H42="Closed Won","",J42-ReportDate)</f>
        <v>35</v>
      </c>
      <c r="P42" s="14" t="str">
        <f aca="false">IF(H42="Closed Won","closed",IF(O42&lt;0,"past closed",IF(O42&lt;=10,"update","on track")))</f>
        <v>on track</v>
      </c>
    </row>
    <row r="43" customFormat="false" ht="15" hidden="false" customHeight="false" outlineLevel="0" collapsed="false">
      <c r="A43" s="14" t="s">
        <v>280</v>
      </c>
      <c r="B43" s="14" t="s">
        <v>281</v>
      </c>
      <c r="C43" s="14" t="s">
        <v>95</v>
      </c>
      <c r="D43" s="14" t="s">
        <v>34</v>
      </c>
      <c r="E43" s="14" t="s">
        <v>282</v>
      </c>
      <c r="F43" s="14" t="s">
        <v>193</v>
      </c>
      <c r="G43" s="14" t="s">
        <v>283</v>
      </c>
      <c r="H43" s="14" t="s">
        <v>99</v>
      </c>
      <c r="I43" s="15" t="n">
        <v>45479</v>
      </c>
      <c r="J43" s="15" t="n">
        <v>45557</v>
      </c>
      <c r="K43" s="14" t="s">
        <v>100</v>
      </c>
      <c r="L43" s="16" t="n">
        <v>26200</v>
      </c>
      <c r="M43" s="14" t="str">
        <f aca="false">IFERROR(INDEX('Pipeline Compliance'!$H$2:$H$151,MATCH(B43,'Pipeline Compliance'!$B$2:$B$151,0)),"")</f>
        <v>Holloway Outdoor S.p.A.</v>
      </c>
      <c r="N43" s="14" t="str">
        <f aca="false">IF(ISNA(MATCH(B43,'Pipeline Compliance'!$B$2:$B$151,0)),"New","Old")</f>
        <v>Old</v>
      </c>
      <c r="O43" s="14" t="str">
        <f aca="false">IF(H43="Closed Won","",J43-ReportDate)</f>
        <v/>
      </c>
      <c r="P43" s="14" t="str">
        <f aca="false">IF(H43="Closed Won","closed",IF(O43&lt;0,"past closed",IF(O43&lt;=10,"update","on track")))</f>
        <v>closed</v>
      </c>
    </row>
    <row r="44" customFormat="false" ht="15" hidden="false" customHeight="false" outlineLevel="0" collapsed="false">
      <c r="A44" s="14" t="s">
        <v>284</v>
      </c>
      <c r="B44" s="14" t="s">
        <v>285</v>
      </c>
      <c r="C44" s="14" t="s">
        <v>286</v>
      </c>
      <c r="D44" s="14" t="s">
        <v>34</v>
      </c>
      <c r="E44" s="14" t="s">
        <v>287</v>
      </c>
      <c r="F44" s="14" t="s">
        <v>146</v>
      </c>
      <c r="G44" s="14" t="s">
        <v>288</v>
      </c>
      <c r="H44" s="14" t="s">
        <v>99</v>
      </c>
      <c r="I44" s="15" t="n">
        <v>45718</v>
      </c>
      <c r="J44" s="15" t="n">
        <v>45792</v>
      </c>
      <c r="K44" s="14" t="s">
        <v>203</v>
      </c>
      <c r="L44" s="16" t="n">
        <v>40400</v>
      </c>
      <c r="M44" s="14" t="str">
        <f aca="false">IFERROR(INDEX('Pipeline Compliance'!$H$2:$H$151,MATCH(B44,'Pipeline Compliance'!$B$2:$B$151,0)),"")</f>
        <v>Tavish Pharma S.L.</v>
      </c>
      <c r="N44" s="14" t="str">
        <f aca="false">IF(ISNA(MATCH(B44,'Pipeline Compliance'!$B$2:$B$151,0)),"New","Old")</f>
        <v>Old</v>
      </c>
      <c r="O44" s="14" t="str">
        <f aca="false">IF(H44="Closed Won","",J44-ReportDate)</f>
        <v/>
      </c>
      <c r="P44" s="14" t="str">
        <f aca="false">IF(H44="Closed Won","closed",IF(O44&lt;0,"past closed",IF(O44&lt;=10,"update","on track")))</f>
        <v>closed</v>
      </c>
    </row>
    <row r="45" customFormat="false" ht="15" hidden="false" customHeight="false" outlineLevel="0" collapsed="false">
      <c r="A45" s="14" t="s">
        <v>289</v>
      </c>
      <c r="B45" s="14" t="s">
        <v>290</v>
      </c>
      <c r="C45" s="14" t="s">
        <v>291</v>
      </c>
      <c r="D45" s="14" t="s">
        <v>32</v>
      </c>
      <c r="E45" s="14" t="s">
        <v>292</v>
      </c>
      <c r="F45" s="14" t="s">
        <v>134</v>
      </c>
      <c r="G45" s="14" t="s">
        <v>293</v>
      </c>
      <c r="H45" s="14" t="s">
        <v>107</v>
      </c>
      <c r="I45" s="15" t="n">
        <v>45451</v>
      </c>
      <c r="J45" s="15" t="n">
        <v>45566</v>
      </c>
      <c r="K45" s="14" t="s">
        <v>92</v>
      </c>
      <c r="L45" s="16" t="n">
        <v>105900</v>
      </c>
      <c r="M45" s="14" t="str">
        <f aca="false">IFERROR(INDEX('Pipeline Compliance'!$H$2:$H$151,MATCH(B45,'Pipeline Compliance'!$B$2:$B$151,0)),"")</f>
        <v>North Travel Sp. z o.o. Group</v>
      </c>
      <c r="N45" s="14" t="str">
        <f aca="false">IF(ISNA(MATCH(B45,'Pipeline Compliance'!$B$2:$B$151,0)),"New","Old")</f>
        <v>Old</v>
      </c>
      <c r="O45" s="14" t="n">
        <f aca="false">IF(H45="Closed Won","",J45-ReportDate)</f>
        <v>-289</v>
      </c>
      <c r="P45" s="14" t="str">
        <f aca="false">IF(H45="Closed Won","closed",IF(O45&lt;0,"past closed",IF(O45&lt;=10,"update","on track")))</f>
        <v>past closed</v>
      </c>
    </row>
    <row r="46" customFormat="false" ht="15" hidden="false" customHeight="false" outlineLevel="0" collapsed="false">
      <c r="A46" s="14" t="s">
        <v>294</v>
      </c>
      <c r="B46" s="14" t="s">
        <v>295</v>
      </c>
      <c r="C46" s="14" t="s">
        <v>103</v>
      </c>
      <c r="D46" s="14" t="s">
        <v>32</v>
      </c>
      <c r="E46" s="14" t="s">
        <v>296</v>
      </c>
      <c r="F46" s="14" t="s">
        <v>124</v>
      </c>
      <c r="G46" s="14" t="s">
        <v>297</v>
      </c>
      <c r="H46" s="14" t="s">
        <v>178</v>
      </c>
      <c r="I46" s="15" t="n">
        <v>45791</v>
      </c>
      <c r="J46" s="15" t="n">
        <v>45890</v>
      </c>
      <c r="K46" s="14" t="s">
        <v>113</v>
      </c>
      <c r="L46" s="16" t="n">
        <v>26800</v>
      </c>
      <c r="M46" s="14" t="str">
        <f aca="false">IFERROR(INDEX('Pipeline Compliance'!$H$2:$H$151,MATCH(B46,'Pipeline Compliance'!$B$2:$B$151,0)),"")</f>
        <v/>
      </c>
      <c r="N46" s="14" t="str">
        <f aca="false">IF(ISNA(MATCH(B46,'Pipeline Compliance'!$B$2:$B$151,0)),"New","Old")</f>
        <v>New</v>
      </c>
      <c r="O46" s="14" t="n">
        <f aca="false">IF(H46="Closed Won","",J46-ReportDate)</f>
        <v>35</v>
      </c>
      <c r="P46" s="14" t="str">
        <f aca="false">IF(H46="Closed Won","closed",IF(O46&lt;0,"past closed",IF(O46&lt;=10,"update","on track")))</f>
        <v>on track</v>
      </c>
    </row>
    <row r="47" customFormat="false" ht="15" hidden="false" customHeight="false" outlineLevel="0" collapsed="false">
      <c r="A47" s="14" t="s">
        <v>298</v>
      </c>
      <c r="B47" s="14" t="s">
        <v>299</v>
      </c>
      <c r="C47" s="14" t="s">
        <v>67</v>
      </c>
      <c r="D47" s="14" t="s">
        <v>35</v>
      </c>
      <c r="E47" s="14" t="s">
        <v>300</v>
      </c>
      <c r="F47" s="14" t="s">
        <v>69</v>
      </c>
      <c r="G47" s="14" t="s">
        <v>301</v>
      </c>
      <c r="H47" s="14" t="s">
        <v>71</v>
      </c>
      <c r="I47" s="15" t="n">
        <v>45497</v>
      </c>
      <c r="J47" s="15" t="n">
        <v>45581</v>
      </c>
      <c r="K47" s="14" t="s">
        <v>92</v>
      </c>
      <c r="L47" s="16" t="n">
        <v>264200</v>
      </c>
      <c r="M47" s="14" t="str">
        <f aca="false">IFERROR(INDEX('Pipeline Compliance'!$H$2:$H$151,MATCH(B47,'Pipeline Compliance'!$B$2:$B$151,0)),"")</f>
        <v>Kestrel Fashion Inc.</v>
      </c>
      <c r="N47" s="14" t="str">
        <f aca="false">IF(ISNA(MATCH(B47,'Pipeline Compliance'!$B$2:$B$151,0)),"New","Old")</f>
        <v>Old</v>
      </c>
      <c r="O47" s="14" t="n">
        <f aca="false">IF(H47="Closed Won","",J47-ReportDate)</f>
        <v>-274</v>
      </c>
      <c r="P47" s="14" t="str">
        <f aca="false">IF(H47="Closed Won","closed",IF(O47&lt;0,"past closed",IF(O47&lt;=10,"update","on track")))</f>
        <v>past closed</v>
      </c>
    </row>
    <row r="48" customFormat="false" ht="15" hidden="false" customHeight="false" outlineLevel="0" collapsed="false">
      <c r="A48" s="14" t="s">
        <v>302</v>
      </c>
      <c r="B48" s="14" t="s">
        <v>303</v>
      </c>
      <c r="C48" s="14" t="s">
        <v>138</v>
      </c>
      <c r="D48" s="14" t="s">
        <v>33</v>
      </c>
      <c r="E48" s="14" t="s">
        <v>304</v>
      </c>
      <c r="F48" s="14" t="s">
        <v>305</v>
      </c>
      <c r="G48" s="14" t="s">
        <v>306</v>
      </c>
      <c r="H48" s="14" t="s">
        <v>107</v>
      </c>
      <c r="I48" s="15" t="n">
        <v>45492</v>
      </c>
      <c r="J48" s="15" t="n">
        <v>45652</v>
      </c>
      <c r="K48" s="14" t="s">
        <v>92</v>
      </c>
      <c r="L48" s="16" t="n">
        <v>44500</v>
      </c>
      <c r="M48" s="14" t="str">
        <f aca="false">IFERROR(INDEX('Pipeline Compliance'!$H$2:$H$151,MATCH(B48,'Pipeline Compliance'!$B$2:$B$151,0)),"")</f>
        <v>Larch Fashion A/S</v>
      </c>
      <c r="N48" s="14" t="str">
        <f aca="false">IF(ISNA(MATCH(B48,'Pipeline Compliance'!$B$2:$B$151,0)),"New","Old")</f>
        <v>Old</v>
      </c>
      <c r="O48" s="14" t="n">
        <f aca="false">IF(H48="Closed Won","",J48-ReportDate)</f>
        <v>-203</v>
      </c>
      <c r="P48" s="14" t="str">
        <f aca="false">IF(H48="Closed Won","closed",IF(O48&lt;0,"past closed",IF(O48&lt;=10,"update","on track")))</f>
        <v>past closed</v>
      </c>
    </row>
    <row r="49" customFormat="false" ht="15" hidden="false" customHeight="false" outlineLevel="0" collapsed="false">
      <c r="A49" s="14" t="s">
        <v>307</v>
      </c>
      <c r="B49" s="14" t="s">
        <v>308</v>
      </c>
      <c r="C49" s="14" t="s">
        <v>75</v>
      </c>
      <c r="D49" s="14" t="s">
        <v>32</v>
      </c>
      <c r="E49" s="14" t="s">
        <v>309</v>
      </c>
      <c r="F49" s="14" t="s">
        <v>77</v>
      </c>
      <c r="G49" s="14" t="s">
        <v>310</v>
      </c>
      <c r="H49" s="14" t="s">
        <v>99</v>
      </c>
      <c r="I49" s="15" t="n">
        <v>45556</v>
      </c>
      <c r="J49" s="15" t="n">
        <v>45801</v>
      </c>
      <c r="K49" s="14" t="s">
        <v>203</v>
      </c>
      <c r="L49" s="16" t="n">
        <v>57000</v>
      </c>
      <c r="M49" s="14" t="str">
        <f aca="false">IFERROR(INDEX('Pipeline Compliance'!$H$2:$H$151,MATCH(B49,'Pipeline Compliance'!$B$2:$B$151,0)),"")</f>
        <v>Quill Retail GmbH</v>
      </c>
      <c r="N49" s="14" t="str">
        <f aca="false">IF(ISNA(MATCH(B49,'Pipeline Compliance'!$B$2:$B$151,0)),"New","Old")</f>
        <v>Old</v>
      </c>
      <c r="O49" s="14" t="str">
        <f aca="false">IF(H49="Closed Won","",J49-ReportDate)</f>
        <v/>
      </c>
      <c r="P49" s="14" t="str">
        <f aca="false">IF(H49="Closed Won","closed",IF(O49&lt;0,"past closed",IF(O49&lt;=10,"update","on track")))</f>
        <v>closed</v>
      </c>
    </row>
    <row r="50" customFormat="false" ht="15" hidden="false" customHeight="false" outlineLevel="0" collapsed="false">
      <c r="A50" s="14" t="s">
        <v>311</v>
      </c>
      <c r="B50" s="14" t="s">
        <v>312</v>
      </c>
      <c r="C50" s="14" t="s">
        <v>67</v>
      </c>
      <c r="D50" s="14" t="s">
        <v>35</v>
      </c>
      <c r="E50" s="14" t="s">
        <v>313</v>
      </c>
      <c r="F50" s="14" t="s">
        <v>129</v>
      </c>
      <c r="G50" s="14" t="s">
        <v>314</v>
      </c>
      <c r="H50" s="14" t="s">
        <v>107</v>
      </c>
      <c r="I50" s="15" t="n">
        <v>45758</v>
      </c>
      <c r="J50" s="15" t="n">
        <v>45807</v>
      </c>
      <c r="K50" s="14" t="s">
        <v>203</v>
      </c>
      <c r="L50" s="16" t="n">
        <v>122800</v>
      </c>
      <c r="M50" s="14" t="str">
        <f aca="false">IFERROR(INDEX('Pipeline Compliance'!$H$2:$H$151,MATCH(B50,'Pipeline Compliance'!$B$2:$B$151,0)),"")</f>
        <v>Merrow Fashion Incorporated</v>
      </c>
      <c r="N50" s="14" t="str">
        <f aca="false">IF(ISNA(MATCH(B50,'Pipeline Compliance'!$B$2:$B$151,0)),"New","Old")</f>
        <v>Old</v>
      </c>
      <c r="O50" s="14" t="n">
        <f aca="false">IF(H50="Closed Won","",J50-ReportDate)</f>
        <v>-48</v>
      </c>
      <c r="P50" s="14" t="str">
        <f aca="false">IF(H50="Closed Won","closed",IF(O50&lt;0,"past closed",IF(O50&lt;=10,"update","on track")))</f>
        <v>past closed</v>
      </c>
    </row>
    <row r="51" customFormat="false" ht="15" hidden="false" customHeight="false" outlineLevel="0" collapsed="false">
      <c r="A51" s="14" t="s">
        <v>315</v>
      </c>
      <c r="B51" s="14" t="s">
        <v>316</v>
      </c>
      <c r="C51" s="14" t="s">
        <v>81</v>
      </c>
      <c r="D51" s="14" t="s">
        <v>38</v>
      </c>
      <c r="E51" s="14" t="s">
        <v>317</v>
      </c>
      <c r="F51" s="14" t="s">
        <v>217</v>
      </c>
      <c r="G51" s="14" t="s">
        <v>318</v>
      </c>
      <c r="H51" s="14" t="s">
        <v>63</v>
      </c>
      <c r="I51" s="15" t="n">
        <v>45729</v>
      </c>
      <c r="J51" s="15" t="n">
        <v>45880</v>
      </c>
      <c r="K51" s="14" t="s">
        <v>113</v>
      </c>
      <c r="L51" s="16" t="n">
        <v>102500</v>
      </c>
      <c r="M51" s="14" t="str">
        <f aca="false">IFERROR(INDEX('Pipeline Compliance'!$H$2:$H$151,MATCH(B51,'Pipeline Compliance'!$B$2:$B$151,0)),"")</f>
        <v>Carrow Retail Pty Ltd</v>
      </c>
      <c r="N51" s="14" t="str">
        <f aca="false">IF(ISNA(MATCH(B51,'Pipeline Compliance'!$B$2:$B$151,0)),"New","Old")</f>
        <v>Old</v>
      </c>
      <c r="O51" s="14" t="n">
        <f aca="false">IF(H51="Closed Won","",J51-ReportDate)</f>
        <v>25</v>
      </c>
      <c r="P51" s="14" t="str">
        <f aca="false">IF(H51="Closed Won","closed",IF(O51&lt;0,"past closed",IF(O51&lt;=10,"update","on track")))</f>
        <v>on track</v>
      </c>
    </row>
    <row r="52" customFormat="false" ht="15" hidden="false" customHeight="false" outlineLevel="0" collapsed="false">
      <c r="A52" s="14" t="s">
        <v>319</v>
      </c>
      <c r="B52" s="14" t="s">
        <v>320</v>
      </c>
      <c r="C52" s="14" t="s">
        <v>75</v>
      </c>
      <c r="D52" s="14" t="s">
        <v>32</v>
      </c>
      <c r="E52" s="14" t="s">
        <v>321</v>
      </c>
      <c r="F52" s="14" t="s">
        <v>134</v>
      </c>
      <c r="G52" s="14" t="s">
        <v>322</v>
      </c>
      <c r="H52" s="14" t="s">
        <v>107</v>
      </c>
      <c r="I52" s="15" t="n">
        <v>45746</v>
      </c>
      <c r="J52" s="15" t="n">
        <v>46027</v>
      </c>
      <c r="K52" s="14" t="s">
        <v>270</v>
      </c>
      <c r="L52" s="16" t="n">
        <v>386200</v>
      </c>
      <c r="M52" s="14" t="str">
        <f aca="false">IFERROR(INDEX('Pipeline Compliance'!$H$2:$H$151,MATCH(B52,'Pipeline Compliance'!$B$2:$B$151,0)),"")</f>
        <v/>
      </c>
      <c r="N52" s="14" t="str">
        <f aca="false">IF(ISNA(MATCH(B52,'Pipeline Compliance'!$B$2:$B$151,0)),"New","Old")</f>
        <v>New</v>
      </c>
      <c r="O52" s="14" t="n">
        <f aca="false">IF(H52="Closed Won","",J52-ReportDate)</f>
        <v>172</v>
      </c>
      <c r="P52" s="14" t="str">
        <f aca="false">IF(H52="Closed Won","closed",IF(O52&lt;0,"past closed",IF(O52&lt;=10,"update","on track")))</f>
        <v>on track</v>
      </c>
    </row>
    <row r="53" customFormat="false" ht="15" hidden="false" customHeight="false" outlineLevel="0" collapsed="false">
      <c r="A53" s="14" t="s">
        <v>323</v>
      </c>
      <c r="B53" s="14" t="s">
        <v>324</v>
      </c>
      <c r="C53" s="14" t="s">
        <v>95</v>
      </c>
      <c r="D53" s="14" t="s">
        <v>34</v>
      </c>
      <c r="E53" s="14" t="s">
        <v>325</v>
      </c>
      <c r="F53" s="14" t="s">
        <v>326</v>
      </c>
      <c r="G53" s="14" t="s">
        <v>327</v>
      </c>
      <c r="H53" s="14" t="s">
        <v>63</v>
      </c>
      <c r="I53" s="15" t="n">
        <v>45684</v>
      </c>
      <c r="J53" s="15" t="n">
        <v>45897</v>
      </c>
      <c r="K53" s="14" t="s">
        <v>113</v>
      </c>
      <c r="L53" s="16" t="n">
        <v>120100</v>
      </c>
      <c r="M53" s="14" t="str">
        <f aca="false">IFERROR(INDEX('Pipeline Compliance'!$H$2:$H$151,MATCH(B53,'Pipeline Compliance'!$B$2:$B$151,0)),"")</f>
        <v/>
      </c>
      <c r="N53" s="14" t="str">
        <f aca="false">IF(ISNA(MATCH(B53,'Pipeline Compliance'!$B$2:$B$151,0)),"New","Old")</f>
        <v>New</v>
      </c>
      <c r="O53" s="14" t="n">
        <f aca="false">IF(H53="Closed Won","",J53-ReportDate)</f>
        <v>42</v>
      </c>
      <c r="P53" s="14" t="str">
        <f aca="false">IF(H53="Closed Won","closed",IF(O53&lt;0,"past closed",IF(O53&lt;=10,"update","on track")))</f>
        <v>on track</v>
      </c>
    </row>
    <row r="54" customFormat="false" ht="15" hidden="false" customHeight="false" outlineLevel="0" collapsed="false">
      <c r="A54" s="14" t="s">
        <v>328</v>
      </c>
      <c r="B54" s="14" t="s">
        <v>329</v>
      </c>
      <c r="C54" s="14" t="s">
        <v>330</v>
      </c>
      <c r="D54" s="14" t="s">
        <v>33</v>
      </c>
      <c r="E54" s="14" t="s">
        <v>331</v>
      </c>
      <c r="F54" s="14" t="s">
        <v>305</v>
      </c>
      <c r="G54" s="14" t="s">
        <v>332</v>
      </c>
      <c r="H54" s="14" t="s">
        <v>63</v>
      </c>
      <c r="I54" s="15" t="n">
        <v>45629</v>
      </c>
      <c r="J54" s="15" t="n">
        <v>45855</v>
      </c>
      <c r="K54" s="14" t="s">
        <v>113</v>
      </c>
      <c r="L54" s="16" t="n">
        <v>124500</v>
      </c>
      <c r="M54" s="14" t="str">
        <f aca="false">IFERROR(INDEX('Pipeline Compliance'!$H$2:$H$151,MATCH(B54,'Pipeline Compliance'!$B$2:$B$151,0)),"")</f>
        <v>Quill Wine Limited</v>
      </c>
      <c r="N54" s="14" t="str">
        <f aca="false">IF(ISNA(MATCH(B54,'Pipeline Compliance'!$B$2:$B$151,0)),"New","Old")</f>
        <v>Old</v>
      </c>
      <c r="O54" s="14" t="n">
        <f aca="false">IF(H54="Closed Won","",J54-ReportDate)</f>
        <v>0</v>
      </c>
      <c r="P54" s="14" t="str">
        <f aca="false">IF(H54="Closed Won","closed",IF(O54&lt;0,"past closed",IF(O54&lt;=10,"update","on track")))</f>
        <v>update</v>
      </c>
    </row>
    <row r="55" customFormat="false" ht="15" hidden="false" customHeight="false" outlineLevel="0" collapsed="false">
      <c r="A55" s="14" t="s">
        <v>333</v>
      </c>
      <c r="B55" s="14" t="s">
        <v>334</v>
      </c>
      <c r="C55" s="14" t="s">
        <v>144</v>
      </c>
      <c r="D55" s="14" t="s">
        <v>34</v>
      </c>
      <c r="E55" s="14" t="s">
        <v>335</v>
      </c>
      <c r="F55" s="14" t="s">
        <v>326</v>
      </c>
      <c r="G55" s="14" t="s">
        <v>336</v>
      </c>
      <c r="H55" s="14" t="s">
        <v>99</v>
      </c>
      <c r="I55" s="15" t="n">
        <v>45620</v>
      </c>
      <c r="J55" s="15" t="n">
        <v>45682</v>
      </c>
      <c r="K55" s="14" t="s">
        <v>85</v>
      </c>
      <c r="L55" s="16" t="n">
        <v>110500</v>
      </c>
      <c r="M55" s="14" t="n">
        <f aca="false">IFERROR(INDEX('Pipeline Compliance'!$H$2:$H$151,MATCH(B55,'Pipeline Compliance'!$B$2:$B$151,0)),"")</f>
        <v>0</v>
      </c>
      <c r="N55" s="14" t="str">
        <f aca="false">IF(ISNA(MATCH(B55,'Pipeline Compliance'!$B$2:$B$151,0)),"New","Old")</f>
        <v>Old</v>
      </c>
      <c r="O55" s="14" t="str">
        <f aca="false">IF(H55="Closed Won","",J55-ReportDate)</f>
        <v/>
      </c>
      <c r="P55" s="14" t="str">
        <f aca="false">IF(H55="Closed Won","closed",IF(O55&lt;0,"past closed",IF(O55&lt;=10,"update","on track")))</f>
        <v>closed</v>
      </c>
    </row>
    <row r="56" customFormat="false" ht="15" hidden="false" customHeight="false" outlineLevel="0" collapsed="false">
      <c r="A56" s="14" t="s">
        <v>337</v>
      </c>
      <c r="B56" s="14" t="s">
        <v>338</v>
      </c>
      <c r="C56" s="14" t="s">
        <v>116</v>
      </c>
      <c r="D56" s="14" t="s">
        <v>33</v>
      </c>
      <c r="E56" s="14" t="s">
        <v>339</v>
      </c>
      <c r="F56" s="14" t="s">
        <v>305</v>
      </c>
      <c r="G56" s="14" t="s">
        <v>340</v>
      </c>
      <c r="H56" s="14" t="s">
        <v>63</v>
      </c>
      <c r="I56" s="15" t="n">
        <v>45694</v>
      </c>
      <c r="J56" s="15" t="n">
        <v>45795</v>
      </c>
      <c r="K56" s="14" t="s">
        <v>203</v>
      </c>
      <c r="L56" s="16" t="n">
        <v>21300</v>
      </c>
      <c r="M56" s="14" t="str">
        <f aca="false">IFERROR(INDEX('Pipeline Compliance'!$H$2:$H$151,MATCH(B56,'Pipeline Compliance'!$B$2:$B$151,0)),"")</f>
        <v>Brook Motors Ltd</v>
      </c>
      <c r="N56" s="14" t="str">
        <f aca="false">IF(ISNA(MATCH(B56,'Pipeline Compliance'!$B$2:$B$151,0)),"New","Old")</f>
        <v>Old</v>
      </c>
      <c r="O56" s="14" t="n">
        <f aca="false">IF(H56="Closed Won","",J56-ReportDate)</f>
        <v>-60</v>
      </c>
      <c r="P56" s="14" t="str">
        <f aca="false">IF(H56="Closed Won","closed",IF(O56&lt;0,"past closed",IF(O56&lt;=10,"update","on track")))</f>
        <v>past closed</v>
      </c>
    </row>
    <row r="57" customFormat="false" ht="15" hidden="false" customHeight="false" outlineLevel="0" collapsed="false">
      <c r="A57" s="14" t="s">
        <v>341</v>
      </c>
      <c r="B57" s="14" t="s">
        <v>342</v>
      </c>
      <c r="C57" s="14" t="s">
        <v>122</v>
      </c>
      <c r="D57" s="14" t="s">
        <v>32</v>
      </c>
      <c r="E57" s="14" t="s">
        <v>343</v>
      </c>
      <c r="F57" s="14" t="s">
        <v>344</v>
      </c>
      <c r="G57" s="14" t="s">
        <v>345</v>
      </c>
      <c r="H57" s="14" t="s">
        <v>99</v>
      </c>
      <c r="I57" s="15" t="n">
        <v>45761</v>
      </c>
      <c r="J57" s="15" t="n">
        <v>45805</v>
      </c>
      <c r="K57" s="14" t="s">
        <v>203</v>
      </c>
      <c r="L57" s="16" t="n">
        <v>202900</v>
      </c>
      <c r="M57" s="14" t="str">
        <f aca="false">IFERROR(INDEX('Pipeline Compliance'!$H$2:$H$151,MATCH(B57,'Pipeline Compliance'!$B$2:$B$151,0)),"")</f>
        <v/>
      </c>
      <c r="N57" s="14" t="str">
        <f aca="false">IF(ISNA(MATCH(B57,'Pipeline Compliance'!$B$2:$B$151,0)),"New","Old")</f>
        <v>New</v>
      </c>
      <c r="O57" s="14" t="str">
        <f aca="false">IF(H57="Closed Won","",J57-ReportDate)</f>
        <v/>
      </c>
      <c r="P57" s="14" t="str">
        <f aca="false">IF(H57="Closed Won","closed",IF(O57&lt;0,"past closed",IF(O57&lt;=10,"update","on track")))</f>
        <v>closed</v>
      </c>
    </row>
    <row r="58" customFormat="false" ht="15" hidden="false" customHeight="false" outlineLevel="0" collapsed="false">
      <c r="A58" s="14" t="s">
        <v>346</v>
      </c>
      <c r="B58" s="14" t="s">
        <v>347</v>
      </c>
      <c r="C58" s="14" t="s">
        <v>262</v>
      </c>
      <c r="D58" s="14" t="s">
        <v>38</v>
      </c>
      <c r="E58" s="14" t="s">
        <v>348</v>
      </c>
      <c r="F58" s="14" t="s">
        <v>217</v>
      </c>
      <c r="G58" s="14" t="s">
        <v>349</v>
      </c>
      <c r="H58" s="14" t="s">
        <v>107</v>
      </c>
      <c r="I58" s="15" t="n">
        <v>45657</v>
      </c>
      <c r="J58" s="15" t="n">
        <v>45894</v>
      </c>
      <c r="K58" s="14" t="s">
        <v>113</v>
      </c>
      <c r="L58" s="16" t="n">
        <v>22400</v>
      </c>
      <c r="M58" s="14" t="str">
        <f aca="false">IFERROR(INDEX('Pipeline Compliance'!$H$2:$H$151,MATCH(B58,'Pipeline Compliance'!$B$2:$B$151,0)),"")</f>
        <v/>
      </c>
      <c r="N58" s="14" t="str">
        <f aca="false">IF(ISNA(MATCH(B58,'Pipeline Compliance'!$B$2:$B$151,0)),"New","Old")</f>
        <v>New</v>
      </c>
      <c r="O58" s="14" t="n">
        <f aca="false">IF(H58="Closed Won","",J58-ReportDate)</f>
        <v>39</v>
      </c>
      <c r="P58" s="14" t="str">
        <f aca="false">IF(H58="Closed Won","closed",IF(O58&lt;0,"past closed",IF(O58&lt;=10,"update","on track")))</f>
        <v>on track</v>
      </c>
    </row>
    <row r="59" customFormat="false" ht="15" hidden="false" customHeight="false" outlineLevel="0" collapsed="false">
      <c r="A59" s="14" t="s">
        <v>350</v>
      </c>
      <c r="B59" s="14" t="s">
        <v>351</v>
      </c>
      <c r="C59" s="14" t="s">
        <v>67</v>
      </c>
      <c r="D59" s="14" t="s">
        <v>35</v>
      </c>
      <c r="E59" s="14" t="s">
        <v>352</v>
      </c>
      <c r="F59" s="14" t="s">
        <v>250</v>
      </c>
      <c r="G59" s="14" t="s">
        <v>353</v>
      </c>
      <c r="H59" s="14" t="s">
        <v>99</v>
      </c>
      <c r="I59" s="15" t="n">
        <v>45368</v>
      </c>
      <c r="J59" s="15" t="n">
        <v>45609</v>
      </c>
      <c r="K59" s="14" t="s">
        <v>92</v>
      </c>
      <c r="L59" s="16" t="n">
        <v>56900</v>
      </c>
      <c r="M59" s="14" t="str">
        <f aca="false">IFERROR(INDEX('Pipeline Compliance'!$H$2:$H$151,MATCH(B59,'Pipeline Compliance'!$B$2:$B$151,0)),"")</f>
        <v>Larch Optics Inc.</v>
      </c>
      <c r="N59" s="14" t="str">
        <f aca="false">IF(ISNA(MATCH(B59,'Pipeline Compliance'!$B$2:$B$151,0)),"New","Old")</f>
        <v>Old</v>
      </c>
      <c r="O59" s="14" t="str">
        <f aca="false">IF(H59="Closed Won","",J59-ReportDate)</f>
        <v/>
      </c>
      <c r="P59" s="14" t="str">
        <f aca="false">IF(H59="Closed Won","closed",IF(O59&lt;0,"past closed",IF(O59&lt;=10,"update","on track")))</f>
        <v>closed</v>
      </c>
    </row>
    <row r="60" customFormat="false" ht="15" hidden="false" customHeight="false" outlineLevel="0" collapsed="false">
      <c r="A60" s="14" t="s">
        <v>354</v>
      </c>
      <c r="B60" s="14" t="s">
        <v>355</v>
      </c>
      <c r="C60" s="14" t="s">
        <v>227</v>
      </c>
      <c r="D60" s="14" t="s">
        <v>37</v>
      </c>
      <c r="E60" s="14" t="s">
        <v>356</v>
      </c>
      <c r="F60" s="14" t="s">
        <v>237</v>
      </c>
      <c r="G60" s="14" t="s">
        <v>357</v>
      </c>
      <c r="H60" s="14" t="s">
        <v>107</v>
      </c>
      <c r="I60" s="15" t="n">
        <v>45425</v>
      </c>
      <c r="J60" s="15" t="n">
        <v>45470</v>
      </c>
      <c r="K60" s="14" t="s">
        <v>64</v>
      </c>
      <c r="L60" s="16" t="n">
        <v>34100</v>
      </c>
      <c r="M60" s="14" t="str">
        <f aca="false">IFERROR(INDEX('Pipeline Compliance'!$H$2:$H$151,MATCH(B60,'Pipeline Compliance'!$B$2:$B$151,0)),"")</f>
        <v>Carrow Motors Co., Ltd</v>
      </c>
      <c r="N60" s="14" t="str">
        <f aca="false">IF(ISNA(MATCH(B60,'Pipeline Compliance'!$B$2:$B$151,0)),"New","Old")</f>
        <v>Old</v>
      </c>
      <c r="O60" s="14" t="n">
        <f aca="false">IF(H60="Closed Won","",J60-ReportDate)</f>
        <v>-385</v>
      </c>
      <c r="P60" s="14" t="str">
        <f aca="false">IF(H60="Closed Won","closed",IF(O60&lt;0,"past closed",IF(O60&lt;=10,"update","on track")))</f>
        <v>past closed</v>
      </c>
    </row>
    <row r="61" customFormat="false" ht="15" hidden="false" customHeight="false" outlineLevel="0" collapsed="false">
      <c r="A61" s="14" t="s">
        <v>358</v>
      </c>
      <c r="B61" s="14" t="s">
        <v>359</v>
      </c>
      <c r="C61" s="14" t="s">
        <v>360</v>
      </c>
      <c r="D61" s="14" t="s">
        <v>33</v>
      </c>
      <c r="E61" s="14" t="s">
        <v>361</v>
      </c>
      <c r="F61" s="14" t="s">
        <v>305</v>
      </c>
      <c r="G61" s="14" t="s">
        <v>362</v>
      </c>
      <c r="H61" s="14" t="s">
        <v>107</v>
      </c>
      <c r="I61" s="15" t="n">
        <v>45568</v>
      </c>
      <c r="J61" s="15" t="n">
        <v>45696</v>
      </c>
      <c r="K61" s="14" t="s">
        <v>85</v>
      </c>
      <c r="L61" s="16" t="n">
        <v>487400</v>
      </c>
      <c r="M61" s="14" t="str">
        <f aca="false">IFERROR(INDEX('Pipeline Compliance'!$H$2:$H$151,MATCH(B61,'Pipeline Compliance'!$B$2:$B$151,0)),"")</f>
        <v/>
      </c>
      <c r="N61" s="14" t="str">
        <f aca="false">IF(ISNA(MATCH(B61,'Pipeline Compliance'!$B$2:$B$151,0)),"New","Old")</f>
        <v>New</v>
      </c>
      <c r="O61" s="14" t="n">
        <f aca="false">IF(H61="Closed Won","",J61-ReportDate)</f>
        <v>-159</v>
      </c>
      <c r="P61" s="14" t="str">
        <f aca="false">IF(H61="Closed Won","closed",IF(O61&lt;0,"past closed",IF(O61&lt;=10,"update","on track")))</f>
        <v>past closed</v>
      </c>
    </row>
  </sheetData>
  <conditionalFormatting sqref="N2:N61">
    <cfRule type="cellIs" priority="2" operator="equal" aboveAverage="0" equalAverage="0" bottom="0" percent="0" rank="0" text="" dxfId="8">
      <formula>"New"</formula>
    </cfRule>
  </conditionalFormatting>
  <conditionalFormatting sqref="P2:P61">
    <cfRule type="cellIs" priority="3" operator="equal" aboveAverage="0" equalAverage="0" bottom="0" percent="0" rank="0" text="" dxfId="0">
      <formula>"past closed"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5"/>
    <col collapsed="false" customWidth="true" hidden="false" outlineLevel="0" max="2" min="2" style="0" width="18"/>
    <col collapsed="false" customWidth="true" hidden="false" outlineLevel="0" max="3" min="3" style="0" width="7"/>
    <col collapsed="false" customWidth="true" hidden="false" outlineLevel="0" max="4" min="4" style="0" width="12"/>
    <col collapsed="false" customWidth="true" hidden="false" outlineLevel="0" max="5" min="5" style="0" width="30"/>
    <col collapsed="false" customWidth="true" hidden="false" outlineLevel="0" max="6" min="6" style="0" width="15"/>
    <col collapsed="false" customWidth="true" hidden="false" outlineLevel="0" max="8" min="7" style="0" width="30"/>
    <col collapsed="false" customWidth="true" hidden="false" outlineLevel="0" max="9" min="9" style="0" width="18"/>
    <col collapsed="false" customWidth="true" hidden="false" outlineLevel="0" max="11" min="10" style="0" width="9"/>
    <col collapsed="false" customWidth="true" hidden="false" outlineLevel="0" max="13" min="12" style="0" width="12"/>
    <col collapsed="false" customWidth="true" hidden="false" outlineLevel="0" max="14" min="14" style="0" width="24"/>
    <col collapsed="false" customWidth="true" hidden="false" outlineLevel="0" max="16" min="15" style="0" width="11"/>
    <col collapsed="false" customWidth="true" hidden="false" outlineLevel="0" max="17" min="17" style="0" width="10"/>
    <col collapsed="false" customWidth="true" hidden="false" outlineLevel="0" max="18" min="18" style="0" width="11"/>
    <col collapsed="false" customWidth="true" hidden="false" outlineLevel="0" max="19" min="19" style="0" width="9"/>
    <col collapsed="false" customWidth="true" hidden="false" outlineLevel="0" max="20" min="20" style="0" width="13"/>
    <col collapsed="false" customWidth="true" hidden="false" outlineLevel="0" max="21" min="21" style="0" width="14"/>
    <col collapsed="false" customWidth="true" hidden="false" outlineLevel="0" max="23" min="22" style="0" width="15"/>
    <col collapsed="false" customWidth="true" hidden="false" outlineLevel="0" max="24" min="24" style="0" width="7"/>
    <col collapsed="false" customWidth="true" hidden="false" outlineLevel="0" max="25" min="25" style="0" width="11"/>
  </cols>
  <sheetData>
    <row r="1" customFormat="false" ht="35.05" hidden="false" customHeight="false" outlineLevel="0" collapsed="false">
      <c r="A1" s="9" t="s">
        <v>42</v>
      </c>
      <c r="B1" s="9" t="s">
        <v>43</v>
      </c>
      <c r="C1" s="9" t="s">
        <v>44</v>
      </c>
      <c r="D1" s="9" t="s">
        <v>20</v>
      </c>
      <c r="E1" s="9" t="s">
        <v>45</v>
      </c>
      <c r="F1" s="9" t="s">
        <v>46</v>
      </c>
      <c r="G1" s="9" t="s">
        <v>363</v>
      </c>
      <c r="H1" s="9" t="s">
        <v>364</v>
      </c>
      <c r="I1" s="9" t="s">
        <v>365</v>
      </c>
      <c r="J1" s="9" t="s">
        <v>366</v>
      </c>
      <c r="K1" s="9" t="s">
        <v>367</v>
      </c>
      <c r="L1" s="9" t="s">
        <v>368</v>
      </c>
      <c r="M1" s="9" t="s">
        <v>369</v>
      </c>
      <c r="N1" s="9" t="s">
        <v>48</v>
      </c>
      <c r="O1" s="9" t="s">
        <v>49</v>
      </c>
      <c r="P1" s="9" t="s">
        <v>50</v>
      </c>
      <c r="Q1" s="9" t="s">
        <v>51</v>
      </c>
      <c r="R1" s="9" t="s">
        <v>52</v>
      </c>
      <c r="S1" s="9" t="s">
        <v>55</v>
      </c>
      <c r="T1" s="9" t="s">
        <v>56</v>
      </c>
      <c r="U1" s="9" t="s">
        <v>370</v>
      </c>
      <c r="V1" s="9" t="s">
        <v>371</v>
      </c>
      <c r="W1" s="9" t="s">
        <v>372</v>
      </c>
      <c r="X1" s="9" t="s">
        <v>373</v>
      </c>
      <c r="Y1" s="9" t="s">
        <v>374</v>
      </c>
    </row>
    <row r="2" customFormat="false" ht="15" hidden="false" customHeight="false" outlineLevel="0" collapsed="false">
      <c r="A2" s="14" t="s">
        <v>195</v>
      </c>
      <c r="B2" s="14" t="s">
        <v>196</v>
      </c>
      <c r="C2" s="14" t="s">
        <v>191</v>
      </c>
      <c r="D2" s="14" t="s">
        <v>34</v>
      </c>
      <c r="E2" s="14" t="s">
        <v>197</v>
      </c>
      <c r="F2" s="14" t="s">
        <v>187</v>
      </c>
      <c r="G2" s="14" t="s">
        <v>198</v>
      </c>
      <c r="H2" s="14" t="s">
        <v>198</v>
      </c>
      <c r="I2" s="14" t="s">
        <v>375</v>
      </c>
      <c r="J2" s="14" t="n">
        <v>4841</v>
      </c>
      <c r="K2" s="14" t="n">
        <v>4841</v>
      </c>
      <c r="L2" s="14" t="n">
        <v>343350125</v>
      </c>
      <c r="M2" s="14" t="n">
        <v>343350125</v>
      </c>
      <c r="N2" s="14" t="s">
        <v>71</v>
      </c>
      <c r="O2" s="15" t="n">
        <v>45544</v>
      </c>
      <c r="P2" s="15" t="n">
        <v>45702</v>
      </c>
      <c r="Q2" s="14" t="s">
        <v>85</v>
      </c>
      <c r="R2" s="16" t="n">
        <v>156200</v>
      </c>
      <c r="S2" s="14" t="n">
        <f aca="false">IF(N2="Closed Won","",P2-ReportDate)</f>
        <v>-153</v>
      </c>
      <c r="T2" s="14" t="str">
        <f aca="false">IF(N2="Closed Won","closed",IF(S2&lt;0,"past closed",IF(S2&lt;=10,"update","on track")))</f>
        <v>past closed</v>
      </c>
      <c r="U2" s="14" t="str">
        <f aca="false">IF(H2="","No D&amp;B match",IF(TRIM(G2)=TRIM(H2),"Match","Mismatch"))</f>
        <v>Match</v>
      </c>
      <c r="V2" s="14" t="str">
        <f aca="false">IF(K2="","No D&amp;B match",IF(J2="","Missing in CRM",IF(J2=K2,"Match","Mismatch")))</f>
        <v>Match</v>
      </c>
      <c r="W2" s="14" t="str">
        <f aca="false">IF(M2="","No D&amp;B match",IF(L2="","Missing in CRM",IF(L2=M2,"Match","Mismatch")))</f>
        <v>Match</v>
      </c>
      <c r="X2" s="14" t="n">
        <f aca="false">COUNTIF(U2:W2,"&lt;&gt;Match")+IF(T2="past closed",1,0)</f>
        <v>1</v>
      </c>
      <c r="Y2" s="14" t="str">
        <f aca="false">IF(X2=0,"Clean","Review")</f>
        <v>Review</v>
      </c>
    </row>
    <row r="3" customFormat="false" ht="15" hidden="false" customHeight="false" outlineLevel="0" collapsed="false">
      <c r="A3" s="14" t="s">
        <v>376</v>
      </c>
      <c r="B3" s="14" t="s">
        <v>377</v>
      </c>
      <c r="C3" s="14" t="s">
        <v>75</v>
      </c>
      <c r="D3" s="14" t="s">
        <v>32</v>
      </c>
      <c r="E3" s="14" t="s">
        <v>378</v>
      </c>
      <c r="F3" s="14" t="s">
        <v>379</v>
      </c>
      <c r="G3" s="14" t="s">
        <v>380</v>
      </c>
      <c r="H3" s="14" t="s">
        <v>380</v>
      </c>
      <c r="I3" s="14" t="s">
        <v>381</v>
      </c>
      <c r="J3" s="14" t="n">
        <v>5122</v>
      </c>
      <c r="K3" s="14" t="n">
        <v>5122</v>
      </c>
      <c r="L3" s="14" t="n">
        <v>353587990</v>
      </c>
      <c r="M3" s="14" t="n">
        <v>353587990</v>
      </c>
      <c r="N3" s="14" t="s">
        <v>107</v>
      </c>
      <c r="O3" s="15" t="n">
        <v>45487</v>
      </c>
      <c r="P3" s="15" t="n">
        <v>45669</v>
      </c>
      <c r="Q3" s="14" t="s">
        <v>85</v>
      </c>
      <c r="R3" s="16" t="n">
        <v>78800</v>
      </c>
      <c r="S3" s="14" t="n">
        <f aca="false">IF(N3="Closed Won","",P3-ReportDate)</f>
        <v>-186</v>
      </c>
      <c r="T3" s="14" t="str">
        <f aca="false">IF(N3="Closed Won","closed",IF(S3&lt;0,"past closed",IF(S3&lt;=10,"update","on track")))</f>
        <v>past closed</v>
      </c>
      <c r="U3" s="14" t="str">
        <f aca="false">IF(H3="","No D&amp;B match",IF(TRIM(G3)=TRIM(H3),"Match","Mismatch"))</f>
        <v>Match</v>
      </c>
      <c r="V3" s="14" t="str">
        <f aca="false">IF(K3="","No D&amp;B match",IF(J3="","Missing in CRM",IF(J3=K3,"Match","Mismatch")))</f>
        <v>Match</v>
      </c>
      <c r="W3" s="14" t="str">
        <f aca="false">IF(M3="","No D&amp;B match",IF(L3="","Missing in CRM",IF(L3=M3,"Match","Mismatch")))</f>
        <v>Match</v>
      </c>
      <c r="X3" s="14" t="n">
        <f aca="false">COUNTIF(U3:W3,"&lt;&gt;Match")+IF(T3="past closed",1,0)</f>
        <v>1</v>
      </c>
      <c r="Y3" s="14" t="str">
        <f aca="false">IF(X3=0,"Clean","Review")</f>
        <v>Review</v>
      </c>
    </row>
    <row r="4" customFormat="false" ht="15" hidden="false" customHeight="false" outlineLevel="0" collapsed="false">
      <c r="A4" s="14" t="s">
        <v>302</v>
      </c>
      <c r="B4" s="14" t="s">
        <v>303</v>
      </c>
      <c r="C4" s="14" t="s">
        <v>138</v>
      </c>
      <c r="D4" s="14" t="s">
        <v>33</v>
      </c>
      <c r="E4" s="14" t="s">
        <v>304</v>
      </c>
      <c r="F4" s="14" t="s">
        <v>305</v>
      </c>
      <c r="G4" s="14" t="s">
        <v>306</v>
      </c>
      <c r="H4" s="14" t="s">
        <v>306</v>
      </c>
      <c r="I4" s="14" t="s">
        <v>382</v>
      </c>
      <c r="J4" s="14" t="n">
        <v>6022</v>
      </c>
      <c r="K4" s="14" t="n">
        <v>6022</v>
      </c>
      <c r="L4" s="14" t="n">
        <v>431589562</v>
      </c>
      <c r="M4" s="14" t="n">
        <v>431589562</v>
      </c>
      <c r="N4" s="14" t="s">
        <v>107</v>
      </c>
      <c r="O4" s="15" t="n">
        <v>45492</v>
      </c>
      <c r="P4" s="15" t="n">
        <v>45652</v>
      </c>
      <c r="Q4" s="14" t="s">
        <v>92</v>
      </c>
      <c r="R4" s="16" t="n">
        <v>44500</v>
      </c>
      <c r="S4" s="14" t="n">
        <f aca="false">IF(N4="Closed Won","",P4-ReportDate)</f>
        <v>-203</v>
      </c>
      <c r="T4" s="14" t="str">
        <f aca="false">IF(N4="Closed Won","closed",IF(S4&lt;0,"past closed",IF(S4&lt;=10,"update","on track")))</f>
        <v>past closed</v>
      </c>
      <c r="U4" s="14" t="str">
        <f aca="false">IF(H4="","No D&amp;B match",IF(TRIM(G4)=TRIM(H4),"Match","Mismatch"))</f>
        <v>Match</v>
      </c>
      <c r="V4" s="14" t="str">
        <f aca="false">IF(K4="","No D&amp;B match",IF(J4="","Missing in CRM",IF(J4=K4,"Match","Mismatch")))</f>
        <v>Match</v>
      </c>
      <c r="W4" s="14" t="str">
        <f aca="false">IF(M4="","No D&amp;B match",IF(L4="","Missing in CRM",IF(L4=M4,"Match","Mismatch")))</f>
        <v>Match</v>
      </c>
      <c r="X4" s="14" t="n">
        <f aca="false">COUNTIF(U4:W4,"&lt;&gt;Match")+IF(T4="past closed",1,0)</f>
        <v>1</v>
      </c>
      <c r="Y4" s="14" t="str">
        <f aca="false">IF(X4=0,"Clean","Review")</f>
        <v>Review</v>
      </c>
    </row>
    <row r="5" customFormat="false" ht="15" hidden="false" customHeight="false" outlineLevel="0" collapsed="false">
      <c r="A5" s="14" t="s">
        <v>208</v>
      </c>
      <c r="B5" s="14" t="s">
        <v>209</v>
      </c>
      <c r="C5" s="14" t="s">
        <v>166</v>
      </c>
      <c r="D5" s="14" t="s">
        <v>32</v>
      </c>
      <c r="E5" s="14" t="s">
        <v>210</v>
      </c>
      <c r="F5" s="14" t="s">
        <v>211</v>
      </c>
      <c r="G5" s="14" t="s">
        <v>212</v>
      </c>
      <c r="H5" s="14" t="s">
        <v>212</v>
      </c>
      <c r="I5" s="14" t="s">
        <v>382</v>
      </c>
      <c r="J5" s="14" t="n">
        <v>8062</v>
      </c>
      <c r="K5" s="14" t="n">
        <v>6022</v>
      </c>
      <c r="L5" s="14" t="n">
        <v>206692057</v>
      </c>
      <c r="M5" s="14" t="n">
        <v>332936552</v>
      </c>
      <c r="N5" s="14" t="s">
        <v>99</v>
      </c>
      <c r="O5" s="15" t="n">
        <v>45578</v>
      </c>
      <c r="P5" s="15" t="n">
        <v>45631</v>
      </c>
      <c r="Q5" s="14" t="s">
        <v>92</v>
      </c>
      <c r="R5" s="16" t="n">
        <v>21000</v>
      </c>
      <c r="S5" s="14" t="str">
        <f aca="false">IF(N5="Closed Won","",P5-ReportDate)</f>
        <v/>
      </c>
      <c r="T5" s="14" t="str">
        <f aca="false">IF(N5="Closed Won","closed",IF(S5&lt;0,"past closed",IF(S5&lt;=10,"update","on track")))</f>
        <v>closed</v>
      </c>
      <c r="U5" s="14" t="str">
        <f aca="false">IF(H5="","No D&amp;B match",IF(TRIM(G5)=TRIM(H5),"Match","Mismatch"))</f>
        <v>Match</v>
      </c>
      <c r="V5" s="14" t="str">
        <f aca="false">IF(K5="","No D&amp;B match",IF(J5="","Missing in CRM",IF(J5=K5,"Match","Mismatch")))</f>
        <v>Mismatch</v>
      </c>
      <c r="W5" s="14" t="str">
        <f aca="false">IF(M5="","No D&amp;B match",IF(L5="","Missing in CRM",IF(L5=M5,"Match","Mismatch")))</f>
        <v>Mismatch</v>
      </c>
      <c r="X5" s="14" t="n">
        <f aca="false">COUNTIF(U5:W5,"&lt;&gt;Match")+IF(T5="past closed",1,0)</f>
        <v>2</v>
      </c>
      <c r="Y5" s="14" t="str">
        <f aca="false">IF(X5=0,"Clean","Review")</f>
        <v>Review</v>
      </c>
    </row>
    <row r="6" customFormat="false" ht="15" hidden="false" customHeight="false" outlineLevel="0" collapsed="false">
      <c r="A6" s="14" t="s">
        <v>383</v>
      </c>
      <c r="B6" s="14" t="s">
        <v>384</v>
      </c>
      <c r="C6" s="14" t="s">
        <v>95</v>
      </c>
      <c r="D6" s="14" t="s">
        <v>34</v>
      </c>
      <c r="E6" s="14" t="s">
        <v>385</v>
      </c>
      <c r="F6" s="14" t="s">
        <v>187</v>
      </c>
      <c r="G6" s="14" t="s">
        <v>386</v>
      </c>
      <c r="H6" s="14" t="s">
        <v>386</v>
      </c>
      <c r="I6" s="14" t="s">
        <v>387</v>
      </c>
      <c r="J6" s="14" t="n">
        <v>5511</v>
      </c>
      <c r="K6" s="14" t="n">
        <v>5511</v>
      </c>
      <c r="L6" s="14" t="n">
        <v>732167482</v>
      </c>
      <c r="M6" s="14" t="n">
        <v>732167482</v>
      </c>
      <c r="N6" s="14" t="s">
        <v>107</v>
      </c>
      <c r="O6" s="15" t="n">
        <v>45488</v>
      </c>
      <c r="P6" s="15" t="n">
        <v>45785</v>
      </c>
      <c r="Q6" s="14" t="s">
        <v>203</v>
      </c>
      <c r="R6" s="16" t="n">
        <v>98500</v>
      </c>
      <c r="S6" s="14" t="n">
        <f aca="false">IF(N6="Closed Won","",P6-ReportDate)</f>
        <v>-70</v>
      </c>
      <c r="T6" s="14" t="str">
        <f aca="false">IF(N6="Closed Won","closed",IF(S6&lt;0,"past closed",IF(S6&lt;=10,"update","on track")))</f>
        <v>past closed</v>
      </c>
      <c r="U6" s="14" t="str">
        <f aca="false">IF(H6="","No D&amp;B match",IF(TRIM(G6)=TRIM(H6),"Match","Mismatch"))</f>
        <v>Match</v>
      </c>
      <c r="V6" s="14" t="str">
        <f aca="false">IF(K6="","No D&amp;B match",IF(J6="","Missing in CRM",IF(J6=K6,"Match","Mismatch")))</f>
        <v>Match</v>
      </c>
      <c r="W6" s="14" t="str">
        <f aca="false">IF(M6="","No D&amp;B match",IF(L6="","Missing in CRM",IF(L6=M6,"Match","Mismatch")))</f>
        <v>Match</v>
      </c>
      <c r="X6" s="14" t="n">
        <f aca="false">COUNTIF(U6:W6,"&lt;&gt;Match")+IF(T6="past closed",1,0)</f>
        <v>1</v>
      </c>
      <c r="Y6" s="14" t="str">
        <f aca="false">IF(X6=0,"Clean","Review")</f>
        <v>Review</v>
      </c>
    </row>
    <row r="7" customFormat="false" ht="15" hidden="false" customHeight="false" outlineLevel="0" collapsed="false">
      <c r="A7" s="14" t="s">
        <v>388</v>
      </c>
      <c r="B7" s="14" t="s">
        <v>389</v>
      </c>
      <c r="C7" s="14" t="s">
        <v>122</v>
      </c>
      <c r="D7" s="14" t="s">
        <v>32</v>
      </c>
      <c r="E7" s="14" t="s">
        <v>390</v>
      </c>
      <c r="F7" s="14" t="s">
        <v>211</v>
      </c>
      <c r="G7" s="14" t="s">
        <v>391</v>
      </c>
      <c r="H7" s="14" t="s">
        <v>391</v>
      </c>
      <c r="I7" s="14" t="s">
        <v>387</v>
      </c>
      <c r="J7" s="14" t="n">
        <v>5511</v>
      </c>
      <c r="K7" s="14" t="n">
        <v>5511</v>
      </c>
      <c r="L7" s="14" t="n">
        <v>886957553</v>
      </c>
      <c r="M7" s="14" t="n">
        <v>886957553</v>
      </c>
      <c r="N7" s="14" t="s">
        <v>178</v>
      </c>
      <c r="O7" s="15" t="n">
        <v>45336</v>
      </c>
      <c r="P7" s="15" t="n">
        <v>45607</v>
      </c>
      <c r="Q7" s="14" t="s">
        <v>92</v>
      </c>
      <c r="R7" s="16" t="n">
        <v>210900</v>
      </c>
      <c r="S7" s="14" t="n">
        <f aca="false">IF(N7="Closed Won","",P7-ReportDate)</f>
        <v>-248</v>
      </c>
      <c r="T7" s="14" t="str">
        <f aca="false">IF(N7="Closed Won","closed",IF(S7&lt;0,"past closed",IF(S7&lt;=10,"update","on track")))</f>
        <v>past closed</v>
      </c>
      <c r="U7" s="14" t="str">
        <f aca="false">IF(H7="","No D&amp;B match",IF(TRIM(G7)=TRIM(H7),"Match","Mismatch"))</f>
        <v>Match</v>
      </c>
      <c r="V7" s="14" t="str">
        <f aca="false">IF(K7="","No D&amp;B match",IF(J7="","Missing in CRM",IF(J7=K7,"Match","Mismatch")))</f>
        <v>Match</v>
      </c>
      <c r="W7" s="14" t="str">
        <f aca="false">IF(M7="","No D&amp;B match",IF(L7="","Missing in CRM",IF(L7=M7,"Match","Mismatch")))</f>
        <v>Match</v>
      </c>
      <c r="X7" s="14" t="n">
        <f aca="false">COUNTIF(U7:W7,"&lt;&gt;Match")+IF(T7="past closed",1,0)</f>
        <v>1</v>
      </c>
      <c r="Y7" s="14" t="str">
        <f aca="false">IF(X7=0,"Clean","Review")</f>
        <v>Review</v>
      </c>
    </row>
    <row r="8" customFormat="false" ht="15" hidden="false" customHeight="false" outlineLevel="0" collapsed="false">
      <c r="A8" s="14" t="s">
        <v>392</v>
      </c>
      <c r="B8" s="14" t="s">
        <v>393</v>
      </c>
      <c r="C8" s="14" t="s">
        <v>360</v>
      </c>
      <c r="D8" s="14" t="s">
        <v>33</v>
      </c>
      <c r="E8" s="14" t="s">
        <v>394</v>
      </c>
      <c r="F8" s="14" t="s">
        <v>305</v>
      </c>
      <c r="G8" s="14" t="s">
        <v>395</v>
      </c>
      <c r="H8" s="14" t="s">
        <v>395</v>
      </c>
      <c r="I8" s="14" t="s">
        <v>396</v>
      </c>
      <c r="J8" s="14" t="n">
        <v>7011</v>
      </c>
      <c r="K8" s="14" t="n">
        <v>7011</v>
      </c>
      <c r="L8" s="14" t="n">
        <v>627554006</v>
      </c>
      <c r="M8" s="14" t="n">
        <v>627554006</v>
      </c>
      <c r="N8" s="14" t="s">
        <v>63</v>
      </c>
      <c r="O8" s="15" t="n">
        <v>45568</v>
      </c>
      <c r="P8" s="15" t="n">
        <v>45853</v>
      </c>
      <c r="Q8" s="14" t="s">
        <v>113</v>
      </c>
      <c r="R8" s="16" t="n">
        <v>130100</v>
      </c>
      <c r="S8" s="14" t="n">
        <f aca="false">IF(N8="Closed Won","",P8-ReportDate)</f>
        <v>-2</v>
      </c>
      <c r="T8" s="14" t="str">
        <f aca="false">IF(N8="Closed Won","closed",IF(S8&lt;0,"past closed",IF(S8&lt;=10,"update","on track")))</f>
        <v>past closed</v>
      </c>
      <c r="U8" s="14" t="str">
        <f aca="false">IF(H8="","No D&amp;B match",IF(TRIM(G8)=TRIM(H8),"Match","Mismatch"))</f>
        <v>Match</v>
      </c>
      <c r="V8" s="14" t="str">
        <f aca="false">IF(K8="","No D&amp;B match",IF(J8="","Missing in CRM",IF(J8=K8,"Match","Mismatch")))</f>
        <v>Match</v>
      </c>
      <c r="W8" s="14" t="str">
        <f aca="false">IF(M8="","No D&amp;B match",IF(L8="","Missing in CRM",IF(L8=M8,"Match","Mismatch")))</f>
        <v>Match</v>
      </c>
      <c r="X8" s="14" t="n">
        <f aca="false">COUNTIF(U8:W8,"&lt;&gt;Match")+IF(T8="past closed",1,0)</f>
        <v>1</v>
      </c>
      <c r="Y8" s="14" t="str">
        <f aca="false">IF(X8=0,"Clean","Review")</f>
        <v>Review</v>
      </c>
    </row>
    <row r="9" customFormat="false" ht="15" hidden="false" customHeight="false" outlineLevel="0" collapsed="false">
      <c r="A9" s="14" t="s">
        <v>307</v>
      </c>
      <c r="B9" s="14" t="s">
        <v>308</v>
      </c>
      <c r="C9" s="14" t="s">
        <v>75</v>
      </c>
      <c r="D9" s="14" t="s">
        <v>32</v>
      </c>
      <c r="E9" s="14" t="s">
        <v>309</v>
      </c>
      <c r="F9" s="14" t="s">
        <v>77</v>
      </c>
      <c r="G9" s="14" t="s">
        <v>310</v>
      </c>
      <c r="H9" s="14" t="s">
        <v>310</v>
      </c>
      <c r="I9" s="14" t="s">
        <v>387</v>
      </c>
      <c r="J9" s="14" t="n">
        <v>5511</v>
      </c>
      <c r="K9" s="14" t="n">
        <v>5511</v>
      </c>
      <c r="L9" s="14" t="n">
        <v>640159497</v>
      </c>
      <c r="M9" s="14" t="n">
        <v>640159497</v>
      </c>
      <c r="N9" s="14" t="s">
        <v>99</v>
      </c>
      <c r="O9" s="15" t="n">
        <v>45556</v>
      </c>
      <c r="P9" s="15" t="n">
        <v>45801</v>
      </c>
      <c r="Q9" s="14" t="s">
        <v>203</v>
      </c>
      <c r="R9" s="16" t="n">
        <v>57000</v>
      </c>
      <c r="S9" s="14" t="str">
        <f aca="false">IF(N9="Closed Won","",P9-ReportDate)</f>
        <v/>
      </c>
      <c r="T9" s="14" t="str">
        <f aca="false">IF(N9="Closed Won","closed",IF(S9&lt;0,"past closed",IF(S9&lt;=10,"update","on track")))</f>
        <v>closed</v>
      </c>
      <c r="U9" s="14" t="str">
        <f aca="false">IF(H9="","No D&amp;B match",IF(TRIM(G9)=TRIM(H9),"Match","Mismatch"))</f>
        <v>Match</v>
      </c>
      <c r="V9" s="14" t="str">
        <f aca="false">IF(K9="","No D&amp;B match",IF(J9="","Missing in CRM",IF(J9=K9,"Match","Mismatch")))</f>
        <v>Match</v>
      </c>
      <c r="W9" s="14" t="str">
        <f aca="false">IF(M9="","No D&amp;B match",IF(L9="","Missing in CRM",IF(L9=M9,"Match","Mismatch")))</f>
        <v>Match</v>
      </c>
      <c r="X9" s="14" t="n">
        <f aca="false">COUNTIF(U9:W9,"&lt;&gt;Match")+IF(T9="past closed",1,0)</f>
        <v>0</v>
      </c>
      <c r="Y9" s="14" t="str">
        <f aca="false">IF(X9=0,"Clean","Review")</f>
        <v>Clean</v>
      </c>
    </row>
    <row r="10" customFormat="false" ht="15" hidden="false" customHeight="false" outlineLevel="0" collapsed="false">
      <c r="A10" s="14" t="s">
        <v>354</v>
      </c>
      <c r="B10" s="14" t="s">
        <v>355</v>
      </c>
      <c r="C10" s="14" t="s">
        <v>227</v>
      </c>
      <c r="D10" s="14" t="s">
        <v>37</v>
      </c>
      <c r="E10" s="14" t="s">
        <v>356</v>
      </c>
      <c r="F10" s="14" t="s">
        <v>237</v>
      </c>
      <c r="G10" s="14" t="s">
        <v>357</v>
      </c>
      <c r="H10" s="14" t="s">
        <v>357</v>
      </c>
      <c r="I10" s="14" t="s">
        <v>375</v>
      </c>
      <c r="J10" s="14" t="n">
        <v>4841</v>
      </c>
      <c r="K10" s="14" t="n">
        <v>4841</v>
      </c>
      <c r="L10" s="14" t="n">
        <v>847038506</v>
      </c>
      <c r="M10" s="14" t="n">
        <v>847038506</v>
      </c>
      <c r="N10" s="14" t="s">
        <v>107</v>
      </c>
      <c r="O10" s="15" t="n">
        <v>45425</v>
      </c>
      <c r="P10" s="15" t="n">
        <v>45470</v>
      </c>
      <c r="Q10" s="14" t="s">
        <v>64</v>
      </c>
      <c r="R10" s="16" t="n">
        <v>34100</v>
      </c>
      <c r="S10" s="14" t="n">
        <f aca="false">IF(N10="Closed Won","",P10-ReportDate)</f>
        <v>-385</v>
      </c>
      <c r="T10" s="14" t="str">
        <f aca="false">IF(N10="Closed Won","closed",IF(S10&lt;0,"past closed",IF(S10&lt;=10,"update","on track")))</f>
        <v>past closed</v>
      </c>
      <c r="U10" s="14" t="str">
        <f aca="false">IF(H10="","No D&amp;B match",IF(TRIM(G10)=TRIM(H10),"Match","Mismatch"))</f>
        <v>Match</v>
      </c>
      <c r="V10" s="14" t="str">
        <f aca="false">IF(K10="","No D&amp;B match",IF(J10="","Missing in CRM",IF(J10=K10,"Match","Mismatch")))</f>
        <v>Match</v>
      </c>
      <c r="W10" s="14" t="str">
        <f aca="false">IF(M10="","No D&amp;B match",IF(L10="","Missing in CRM",IF(L10=M10,"Match","Mismatch")))</f>
        <v>Match</v>
      </c>
      <c r="X10" s="14" t="n">
        <f aca="false">COUNTIF(U10:W10,"&lt;&gt;Match")+IF(T10="past closed",1,0)</f>
        <v>1</v>
      </c>
      <c r="Y10" s="14" t="str">
        <f aca="false">IF(X10=0,"Clean","Review")</f>
        <v>Review</v>
      </c>
    </row>
    <row r="11" customFormat="false" ht="15" hidden="false" customHeight="false" outlineLevel="0" collapsed="false">
      <c r="A11" s="14" t="s">
        <v>397</v>
      </c>
      <c r="B11" s="14" t="s">
        <v>398</v>
      </c>
      <c r="C11" s="14" t="s">
        <v>291</v>
      </c>
      <c r="D11" s="14" t="s">
        <v>32</v>
      </c>
      <c r="E11" s="14" t="s">
        <v>399</v>
      </c>
      <c r="F11" s="14" t="s">
        <v>124</v>
      </c>
      <c r="G11" s="14" t="s">
        <v>400</v>
      </c>
      <c r="H11" s="14" t="s">
        <v>400</v>
      </c>
      <c r="I11" s="14" t="s">
        <v>387</v>
      </c>
      <c r="J11" s="14"/>
      <c r="K11" s="14" t="n">
        <v>5511</v>
      </c>
      <c r="L11" s="14"/>
      <c r="M11" s="14" t="n">
        <v>661600782</v>
      </c>
      <c r="N11" s="14" t="s">
        <v>107</v>
      </c>
      <c r="O11" s="15" t="n">
        <v>45310</v>
      </c>
      <c r="P11" s="15" t="n">
        <v>45502</v>
      </c>
      <c r="Q11" s="14" t="s">
        <v>100</v>
      </c>
      <c r="R11" s="16" t="n">
        <v>278500</v>
      </c>
      <c r="S11" s="14" t="n">
        <f aca="false">IF(N11="Closed Won","",P11-ReportDate)</f>
        <v>-353</v>
      </c>
      <c r="T11" s="14" t="str">
        <f aca="false">IF(N11="Closed Won","closed",IF(S11&lt;0,"past closed",IF(S11&lt;=10,"update","on track")))</f>
        <v>past closed</v>
      </c>
      <c r="U11" s="14" t="str">
        <f aca="false">IF(H11="","No D&amp;B match",IF(TRIM(G11)=TRIM(H11),"Match","Mismatch"))</f>
        <v>Match</v>
      </c>
      <c r="V11" s="14" t="str">
        <f aca="false">IF(K11="","No D&amp;B match",IF(J11="","Missing in CRM",IF(J11=K11,"Match","Mismatch")))</f>
        <v>Missing in CRM</v>
      </c>
      <c r="W11" s="14" t="str">
        <f aca="false">IF(M11="","No D&amp;B match",IF(L11="","Missing in CRM",IF(L11=M11,"Match","Mismatch")))</f>
        <v>Missing in CRM</v>
      </c>
      <c r="X11" s="14" t="n">
        <f aca="false">COUNTIF(U11:W11,"&lt;&gt;Match")+IF(T11="past closed",1,0)</f>
        <v>3</v>
      </c>
      <c r="Y11" s="14" t="str">
        <f aca="false">IF(X11=0,"Clean","Review")</f>
        <v>Review</v>
      </c>
    </row>
    <row r="12" customFormat="false" ht="15" hidden="false" customHeight="false" outlineLevel="0" collapsed="false">
      <c r="A12" s="14" t="s">
        <v>401</v>
      </c>
      <c r="B12" s="14" t="s">
        <v>402</v>
      </c>
      <c r="C12" s="14" t="s">
        <v>191</v>
      </c>
      <c r="D12" s="14" t="s">
        <v>34</v>
      </c>
      <c r="E12" s="14" t="s">
        <v>403</v>
      </c>
      <c r="F12" s="14" t="s">
        <v>326</v>
      </c>
      <c r="G12" s="14" t="s">
        <v>404</v>
      </c>
      <c r="H12" s="14" t="s">
        <v>405</v>
      </c>
      <c r="I12" s="14" t="s">
        <v>406</v>
      </c>
      <c r="J12" s="14" t="n">
        <v>5961</v>
      </c>
      <c r="K12" s="14" t="n">
        <v>5961</v>
      </c>
      <c r="L12" s="14" t="n">
        <v>348098165</v>
      </c>
      <c r="M12" s="14" t="n">
        <v>348098165</v>
      </c>
      <c r="N12" s="14" t="s">
        <v>107</v>
      </c>
      <c r="O12" s="15" t="n">
        <v>45598</v>
      </c>
      <c r="P12" s="15" t="n">
        <v>45737</v>
      </c>
      <c r="Q12" s="14" t="s">
        <v>85</v>
      </c>
      <c r="R12" s="16" t="n">
        <v>100200</v>
      </c>
      <c r="S12" s="14" t="n">
        <f aca="false">IF(N12="Closed Won","",P12-ReportDate)</f>
        <v>-118</v>
      </c>
      <c r="T12" s="14" t="str">
        <f aca="false">IF(N12="Closed Won","closed",IF(S12&lt;0,"past closed",IF(S12&lt;=10,"update","on track")))</f>
        <v>past closed</v>
      </c>
      <c r="U12" s="14" t="str">
        <f aca="false">IF(H12="","No D&amp;B match",IF(TRIM(G12)=TRIM(H12),"Match","Mismatch"))</f>
        <v>Mismatch</v>
      </c>
      <c r="V12" s="14" t="str">
        <f aca="false">IF(K12="","No D&amp;B match",IF(J12="","Missing in CRM",IF(J12=K12,"Match","Mismatch")))</f>
        <v>Match</v>
      </c>
      <c r="W12" s="14" t="str">
        <f aca="false">IF(M12="","No D&amp;B match",IF(L12="","Missing in CRM",IF(L12=M12,"Match","Mismatch")))</f>
        <v>Match</v>
      </c>
      <c r="X12" s="14" t="n">
        <f aca="false">COUNTIF(U12:W12,"&lt;&gt;Match")+IF(T12="past closed",1,0)</f>
        <v>2</v>
      </c>
      <c r="Y12" s="14" t="str">
        <f aca="false">IF(X12=0,"Clean","Review")</f>
        <v>Review</v>
      </c>
    </row>
    <row r="13" customFormat="false" ht="15" hidden="false" customHeight="false" outlineLevel="0" collapsed="false">
      <c r="A13" s="14" t="s">
        <v>407</v>
      </c>
      <c r="B13" s="14" t="s">
        <v>408</v>
      </c>
      <c r="C13" s="14" t="s">
        <v>291</v>
      </c>
      <c r="D13" s="14" t="s">
        <v>32</v>
      </c>
      <c r="E13" s="14" t="s">
        <v>409</v>
      </c>
      <c r="F13" s="14" t="s">
        <v>157</v>
      </c>
      <c r="G13" s="14" t="s">
        <v>410</v>
      </c>
      <c r="H13" s="14" t="s">
        <v>410</v>
      </c>
      <c r="I13" s="14" t="s">
        <v>387</v>
      </c>
      <c r="J13" s="14" t="n">
        <v>5511</v>
      </c>
      <c r="K13" s="14" t="n">
        <v>5511</v>
      </c>
      <c r="L13" s="14" t="n">
        <v>957417959</v>
      </c>
      <c r="M13" s="14" t="n">
        <v>957417959</v>
      </c>
      <c r="N13" s="14" t="s">
        <v>63</v>
      </c>
      <c r="O13" s="15" t="n">
        <v>45488</v>
      </c>
      <c r="P13" s="15" t="n">
        <v>45775</v>
      </c>
      <c r="Q13" s="14" t="s">
        <v>203</v>
      </c>
      <c r="R13" s="16" t="n">
        <v>329400</v>
      </c>
      <c r="S13" s="14" t="n">
        <f aca="false">IF(N13="Closed Won","",P13-ReportDate)</f>
        <v>-80</v>
      </c>
      <c r="T13" s="14" t="str">
        <f aca="false">IF(N13="Closed Won","closed",IF(S13&lt;0,"past closed",IF(S13&lt;=10,"update","on track")))</f>
        <v>past closed</v>
      </c>
      <c r="U13" s="14" t="str">
        <f aca="false">IF(H13="","No D&amp;B match",IF(TRIM(G13)=TRIM(H13),"Match","Mismatch"))</f>
        <v>Match</v>
      </c>
      <c r="V13" s="14" t="str">
        <f aca="false">IF(K13="","No D&amp;B match",IF(J13="","Missing in CRM",IF(J13=K13,"Match","Mismatch")))</f>
        <v>Match</v>
      </c>
      <c r="W13" s="14" t="str">
        <f aca="false">IF(M13="","No D&amp;B match",IF(L13="","Missing in CRM",IF(L13=M13,"Match","Mismatch")))</f>
        <v>Match</v>
      </c>
      <c r="X13" s="14" t="n">
        <f aca="false">COUNTIF(U13:W13,"&lt;&gt;Match")+IF(T13="past closed",1,0)</f>
        <v>1</v>
      </c>
      <c r="Y13" s="14" t="str">
        <f aca="false">IF(X13=0,"Clean","Review")</f>
        <v>Review</v>
      </c>
    </row>
    <row r="14" customFormat="false" ht="15" hidden="false" customHeight="false" outlineLevel="0" collapsed="false">
      <c r="A14" s="14" t="s">
        <v>411</v>
      </c>
      <c r="B14" s="14" t="s">
        <v>412</v>
      </c>
      <c r="C14" s="14" t="s">
        <v>360</v>
      </c>
      <c r="D14" s="14" t="s">
        <v>33</v>
      </c>
      <c r="E14" s="14" t="s">
        <v>413</v>
      </c>
      <c r="F14" s="14" t="s">
        <v>118</v>
      </c>
      <c r="G14" s="14" t="s">
        <v>414</v>
      </c>
      <c r="H14" s="14" t="s">
        <v>414</v>
      </c>
      <c r="I14" s="14" t="s">
        <v>381</v>
      </c>
      <c r="J14" s="14" t="n">
        <v>5122</v>
      </c>
      <c r="K14" s="14" t="n">
        <v>5122</v>
      </c>
      <c r="L14" s="14" t="n">
        <v>784010171</v>
      </c>
      <c r="M14" s="14" t="n">
        <v>784010171</v>
      </c>
      <c r="N14" s="14" t="s">
        <v>63</v>
      </c>
      <c r="O14" s="15" t="n">
        <v>45403</v>
      </c>
      <c r="P14" s="15" t="n">
        <v>45629</v>
      </c>
      <c r="Q14" s="14" t="s">
        <v>92</v>
      </c>
      <c r="R14" s="16" t="n">
        <v>78200</v>
      </c>
      <c r="S14" s="14" t="n">
        <f aca="false">IF(N14="Closed Won","",P14-ReportDate)</f>
        <v>-226</v>
      </c>
      <c r="T14" s="14" t="str">
        <f aca="false">IF(N14="Closed Won","closed",IF(S14&lt;0,"past closed",IF(S14&lt;=10,"update","on track")))</f>
        <v>past closed</v>
      </c>
      <c r="U14" s="14" t="str">
        <f aca="false">IF(H14="","No D&amp;B match",IF(TRIM(G14)=TRIM(H14),"Match","Mismatch"))</f>
        <v>Match</v>
      </c>
      <c r="V14" s="14" t="str">
        <f aca="false">IF(K14="","No D&amp;B match",IF(J14="","Missing in CRM",IF(J14=K14,"Match","Mismatch")))</f>
        <v>Match</v>
      </c>
      <c r="W14" s="14" t="str">
        <f aca="false">IF(M14="","No D&amp;B match",IF(L14="","Missing in CRM",IF(L14=M14,"Match","Mismatch")))</f>
        <v>Match</v>
      </c>
      <c r="X14" s="14" t="n">
        <f aca="false">COUNTIF(U14:W14,"&lt;&gt;Match")+IF(T14="past closed",1,0)</f>
        <v>1</v>
      </c>
      <c r="Y14" s="14" t="str">
        <f aca="false">IF(X14=0,"Clean","Review")</f>
        <v>Review</v>
      </c>
    </row>
    <row r="15" customFormat="false" ht="15" hidden="false" customHeight="false" outlineLevel="0" collapsed="false">
      <c r="A15" s="14" t="s">
        <v>415</v>
      </c>
      <c r="B15" s="14" t="s">
        <v>416</v>
      </c>
      <c r="C15" s="14" t="s">
        <v>81</v>
      </c>
      <c r="D15" s="14" t="s">
        <v>38</v>
      </c>
      <c r="E15" s="14" t="s">
        <v>417</v>
      </c>
      <c r="F15" s="14" t="s">
        <v>217</v>
      </c>
      <c r="G15" s="14" t="s">
        <v>418</v>
      </c>
      <c r="H15" s="14"/>
      <c r="I15" s="14" t="s">
        <v>419</v>
      </c>
      <c r="J15" s="14"/>
      <c r="K15" s="14"/>
      <c r="L15" s="14"/>
      <c r="M15" s="14"/>
      <c r="N15" s="14" t="s">
        <v>107</v>
      </c>
      <c r="O15" s="15" t="n">
        <v>45774</v>
      </c>
      <c r="P15" s="15" t="n">
        <v>45846</v>
      </c>
      <c r="Q15" s="14" t="s">
        <v>113</v>
      </c>
      <c r="R15" s="16" t="n">
        <v>198300</v>
      </c>
      <c r="S15" s="14" t="n">
        <f aca="false">IF(N15="Closed Won","",P15-ReportDate)</f>
        <v>-9</v>
      </c>
      <c r="T15" s="14" t="str">
        <f aca="false">IF(N15="Closed Won","closed",IF(S15&lt;0,"past closed",IF(S15&lt;=10,"update","on track")))</f>
        <v>past closed</v>
      </c>
      <c r="U15" s="14" t="str">
        <f aca="false">IF(H15="","No D&amp;B match",IF(TRIM(G15)=TRIM(H15),"Match","Mismatch"))</f>
        <v>No D&amp;B match</v>
      </c>
      <c r="V15" s="14" t="str">
        <f aca="false">IF(K15="","No D&amp;B match",IF(J15="","Missing in CRM",IF(J15=K15,"Match","Mismatch")))</f>
        <v>No D&amp;B match</v>
      </c>
      <c r="W15" s="14" t="str">
        <f aca="false">IF(M15="","No D&amp;B match",IF(L15="","Missing in CRM",IF(L15=M15,"Match","Mismatch")))</f>
        <v>No D&amp;B match</v>
      </c>
      <c r="X15" s="14" t="n">
        <f aca="false">COUNTIF(U15:W15,"&lt;&gt;Match")+IF(T15="past closed",1,0)</f>
        <v>4</v>
      </c>
      <c r="Y15" s="14" t="str">
        <f aca="false">IF(X15=0,"Clean","Review")</f>
        <v>Review</v>
      </c>
    </row>
    <row r="16" customFormat="false" ht="15" hidden="false" customHeight="false" outlineLevel="0" collapsed="false">
      <c r="A16" s="14" t="s">
        <v>420</v>
      </c>
      <c r="B16" s="14" t="s">
        <v>421</v>
      </c>
      <c r="C16" s="14" t="s">
        <v>286</v>
      </c>
      <c r="D16" s="14" t="s">
        <v>34</v>
      </c>
      <c r="E16" s="14" t="s">
        <v>422</v>
      </c>
      <c r="F16" s="14" t="s">
        <v>278</v>
      </c>
      <c r="G16" s="14" t="s">
        <v>423</v>
      </c>
      <c r="H16" s="14" t="s">
        <v>423</v>
      </c>
      <c r="I16" s="14" t="s">
        <v>387</v>
      </c>
      <c r="J16" s="14" t="n">
        <v>5511</v>
      </c>
      <c r="K16" s="14" t="n">
        <v>5511</v>
      </c>
      <c r="L16" s="14" t="n">
        <v>951539705</v>
      </c>
      <c r="M16" s="14" t="n">
        <v>156183962</v>
      </c>
      <c r="N16" s="14" t="s">
        <v>107</v>
      </c>
      <c r="O16" s="15" t="n">
        <v>45314</v>
      </c>
      <c r="P16" s="15" t="n">
        <v>45501</v>
      </c>
      <c r="Q16" s="14" t="s">
        <v>100</v>
      </c>
      <c r="R16" s="16" t="n">
        <v>66400</v>
      </c>
      <c r="S16" s="14" t="n">
        <f aca="false">IF(N16="Closed Won","",P16-ReportDate)</f>
        <v>-354</v>
      </c>
      <c r="T16" s="14" t="str">
        <f aca="false">IF(N16="Closed Won","closed",IF(S16&lt;0,"past closed",IF(S16&lt;=10,"update","on track")))</f>
        <v>past closed</v>
      </c>
      <c r="U16" s="14" t="str">
        <f aca="false">IF(H16="","No D&amp;B match",IF(TRIM(G16)=TRIM(H16),"Match","Mismatch"))</f>
        <v>Match</v>
      </c>
      <c r="V16" s="14" t="str">
        <f aca="false">IF(K16="","No D&amp;B match",IF(J16="","Missing in CRM",IF(J16=K16,"Match","Mismatch")))</f>
        <v>Match</v>
      </c>
      <c r="W16" s="14" t="str">
        <f aca="false">IF(M16="","No D&amp;B match",IF(L16="","Missing in CRM",IF(L16=M16,"Match","Mismatch")))</f>
        <v>Mismatch</v>
      </c>
      <c r="X16" s="14" t="n">
        <f aca="false">COUNTIF(U16:W16,"&lt;&gt;Match")+IF(T16="past closed",1,0)</f>
        <v>2</v>
      </c>
      <c r="Y16" s="14" t="str">
        <f aca="false">IF(X16=0,"Clean","Review")</f>
        <v>Review</v>
      </c>
    </row>
    <row r="17" customFormat="false" ht="15" hidden="false" customHeight="false" outlineLevel="0" collapsed="false">
      <c r="A17" s="14" t="s">
        <v>424</v>
      </c>
      <c r="B17" s="14" t="s">
        <v>425</v>
      </c>
      <c r="C17" s="14" t="s">
        <v>426</v>
      </c>
      <c r="D17" s="14" t="s">
        <v>36</v>
      </c>
      <c r="E17" s="14" t="s">
        <v>427</v>
      </c>
      <c r="F17" s="14" t="s">
        <v>152</v>
      </c>
      <c r="G17" s="14" t="s">
        <v>428</v>
      </c>
      <c r="H17" s="14" t="s">
        <v>428</v>
      </c>
      <c r="I17" s="14" t="s">
        <v>406</v>
      </c>
      <c r="J17" s="14" t="n">
        <v>5961</v>
      </c>
      <c r="K17" s="14" t="n">
        <v>5961</v>
      </c>
      <c r="L17" s="14" t="n">
        <v>736240885</v>
      </c>
      <c r="M17" s="14" t="n">
        <v>946590519</v>
      </c>
      <c r="N17" s="14" t="s">
        <v>107</v>
      </c>
      <c r="O17" s="15" t="n">
        <v>45753</v>
      </c>
      <c r="P17" s="15" t="n">
        <v>46008</v>
      </c>
      <c r="Q17" s="14" t="s">
        <v>72</v>
      </c>
      <c r="R17" s="16" t="n">
        <v>53500</v>
      </c>
      <c r="S17" s="14" t="n">
        <f aca="false">IF(N17="Closed Won","",P17-ReportDate)</f>
        <v>153</v>
      </c>
      <c r="T17" s="14" t="str">
        <f aca="false">IF(N17="Closed Won","closed",IF(S17&lt;0,"past closed",IF(S17&lt;=10,"update","on track")))</f>
        <v>on track</v>
      </c>
      <c r="U17" s="14" t="str">
        <f aca="false">IF(H17="","No D&amp;B match",IF(TRIM(G17)=TRIM(H17),"Match","Mismatch"))</f>
        <v>Match</v>
      </c>
      <c r="V17" s="14" t="str">
        <f aca="false">IF(K17="","No D&amp;B match",IF(J17="","Missing in CRM",IF(J17=K17,"Match","Mismatch")))</f>
        <v>Match</v>
      </c>
      <c r="W17" s="14" t="str">
        <f aca="false">IF(M17="","No D&amp;B match",IF(L17="","Missing in CRM",IF(L17=M17,"Match","Mismatch")))</f>
        <v>Mismatch</v>
      </c>
      <c r="X17" s="14" t="n">
        <f aca="false">COUNTIF(U17:W17,"&lt;&gt;Match")+IF(T17="past closed",1,0)</f>
        <v>1</v>
      </c>
      <c r="Y17" s="14" t="str">
        <f aca="false">IF(X17=0,"Clean","Review")</f>
        <v>Review</v>
      </c>
    </row>
    <row r="18" customFormat="false" ht="15" hidden="false" customHeight="false" outlineLevel="0" collapsed="false">
      <c r="A18" s="14" t="s">
        <v>429</v>
      </c>
      <c r="B18" s="14" t="s">
        <v>430</v>
      </c>
      <c r="C18" s="14" t="s">
        <v>360</v>
      </c>
      <c r="D18" s="14" t="s">
        <v>33</v>
      </c>
      <c r="E18" s="14" t="s">
        <v>431</v>
      </c>
      <c r="F18" s="14" t="s">
        <v>432</v>
      </c>
      <c r="G18" s="14" t="s">
        <v>433</v>
      </c>
      <c r="H18" s="14" t="s">
        <v>434</v>
      </c>
      <c r="I18" s="14" t="s">
        <v>387</v>
      </c>
      <c r="J18" s="14" t="n">
        <v>5511</v>
      </c>
      <c r="K18" s="14" t="n">
        <v>5511</v>
      </c>
      <c r="L18" s="14" t="n">
        <v>724906726</v>
      </c>
      <c r="M18" s="14" t="n">
        <v>724906726</v>
      </c>
      <c r="N18" s="14" t="s">
        <v>71</v>
      </c>
      <c r="O18" s="15" t="n">
        <v>45294</v>
      </c>
      <c r="P18" s="15" t="n">
        <v>45445</v>
      </c>
      <c r="Q18" s="14" t="s">
        <v>64</v>
      </c>
      <c r="R18" s="16" t="n">
        <v>53400</v>
      </c>
      <c r="S18" s="14" t="n">
        <f aca="false">IF(N18="Closed Won","",P18-ReportDate)</f>
        <v>-410</v>
      </c>
      <c r="T18" s="14" t="str">
        <f aca="false">IF(N18="Closed Won","closed",IF(S18&lt;0,"past closed",IF(S18&lt;=10,"update","on track")))</f>
        <v>past closed</v>
      </c>
      <c r="U18" s="14" t="str">
        <f aca="false">IF(H18="","No D&amp;B match",IF(TRIM(G18)=TRIM(H18),"Match","Mismatch"))</f>
        <v>Mismatch</v>
      </c>
      <c r="V18" s="14" t="str">
        <f aca="false">IF(K18="","No D&amp;B match",IF(J18="","Missing in CRM",IF(J18=K18,"Match","Mismatch")))</f>
        <v>Match</v>
      </c>
      <c r="W18" s="14" t="str">
        <f aca="false">IF(M18="","No D&amp;B match",IF(L18="","Missing in CRM",IF(L18=M18,"Match","Mismatch")))</f>
        <v>Match</v>
      </c>
      <c r="X18" s="14" t="n">
        <f aca="false">COUNTIF(U18:W18,"&lt;&gt;Match")+IF(T18="past closed",1,0)</f>
        <v>2</v>
      </c>
      <c r="Y18" s="14" t="str">
        <f aca="false">IF(X18=0,"Clean","Review")</f>
        <v>Review</v>
      </c>
    </row>
    <row r="19" customFormat="false" ht="15" hidden="false" customHeight="false" outlineLevel="0" collapsed="false">
      <c r="A19" s="14" t="s">
        <v>350</v>
      </c>
      <c r="B19" s="14" t="s">
        <v>351</v>
      </c>
      <c r="C19" s="14" t="s">
        <v>67</v>
      </c>
      <c r="D19" s="14" t="s">
        <v>35</v>
      </c>
      <c r="E19" s="14" t="s">
        <v>352</v>
      </c>
      <c r="F19" s="14" t="s">
        <v>250</v>
      </c>
      <c r="G19" s="14" t="s">
        <v>353</v>
      </c>
      <c r="H19" s="14" t="s">
        <v>353</v>
      </c>
      <c r="I19" s="14" t="s">
        <v>382</v>
      </c>
      <c r="J19" s="14" t="n">
        <v>6022</v>
      </c>
      <c r="K19" s="14" t="n">
        <v>6022</v>
      </c>
      <c r="L19" s="14" t="n">
        <v>692056865</v>
      </c>
      <c r="M19" s="14" t="n">
        <v>692056865</v>
      </c>
      <c r="N19" s="14" t="s">
        <v>99</v>
      </c>
      <c r="O19" s="15" t="n">
        <v>45368</v>
      </c>
      <c r="P19" s="15" t="n">
        <v>45609</v>
      </c>
      <c r="Q19" s="14" t="s">
        <v>92</v>
      </c>
      <c r="R19" s="16" t="n">
        <v>56900</v>
      </c>
      <c r="S19" s="14" t="str">
        <f aca="false">IF(N19="Closed Won","",P19-ReportDate)</f>
        <v/>
      </c>
      <c r="T19" s="14" t="str">
        <f aca="false">IF(N19="Closed Won","closed",IF(S19&lt;0,"past closed",IF(S19&lt;=10,"update","on track")))</f>
        <v>closed</v>
      </c>
      <c r="U19" s="14" t="str">
        <f aca="false">IF(H19="","No D&amp;B match",IF(TRIM(G19)=TRIM(H19),"Match","Mismatch"))</f>
        <v>Match</v>
      </c>
      <c r="V19" s="14" t="str">
        <f aca="false">IF(K19="","No D&amp;B match",IF(J19="","Missing in CRM",IF(J19=K19,"Match","Mismatch")))</f>
        <v>Match</v>
      </c>
      <c r="W19" s="14" t="str">
        <f aca="false">IF(M19="","No D&amp;B match",IF(L19="","Missing in CRM",IF(L19=M19,"Match","Mismatch")))</f>
        <v>Match</v>
      </c>
      <c r="X19" s="14" t="n">
        <f aca="false">COUNTIF(U19:W19,"&lt;&gt;Match")+IF(T19="past closed",1,0)</f>
        <v>0</v>
      </c>
      <c r="Y19" s="14" t="str">
        <f aca="false">IF(X19=0,"Clean","Review")</f>
        <v>Clean</v>
      </c>
    </row>
    <row r="20" customFormat="false" ht="15" hidden="false" customHeight="false" outlineLevel="0" collapsed="false">
      <c r="A20" s="14" t="s">
        <v>435</v>
      </c>
      <c r="B20" s="14" t="s">
        <v>436</v>
      </c>
      <c r="C20" s="14" t="s">
        <v>161</v>
      </c>
      <c r="D20" s="14" t="s">
        <v>35</v>
      </c>
      <c r="E20" s="14" t="s">
        <v>437</v>
      </c>
      <c r="F20" s="14" t="s">
        <v>250</v>
      </c>
      <c r="G20" s="14" t="s">
        <v>438</v>
      </c>
      <c r="H20" s="14"/>
      <c r="I20" s="14" t="s">
        <v>382</v>
      </c>
      <c r="J20" s="14"/>
      <c r="K20" s="14"/>
      <c r="L20" s="14"/>
      <c r="M20" s="14"/>
      <c r="N20" s="14" t="s">
        <v>99</v>
      </c>
      <c r="O20" s="15" t="n">
        <v>45338</v>
      </c>
      <c r="P20" s="15" t="n">
        <v>45476</v>
      </c>
      <c r="Q20" s="14" t="s">
        <v>100</v>
      </c>
      <c r="R20" s="16" t="n">
        <v>224200</v>
      </c>
      <c r="S20" s="14" t="str">
        <f aca="false">IF(N20="Closed Won","",P20-ReportDate)</f>
        <v/>
      </c>
      <c r="T20" s="14" t="str">
        <f aca="false">IF(N20="Closed Won","closed",IF(S20&lt;0,"past closed",IF(S20&lt;=10,"update","on track")))</f>
        <v>closed</v>
      </c>
      <c r="U20" s="14" t="str">
        <f aca="false">IF(H20="","No D&amp;B match",IF(TRIM(G20)=TRIM(H20),"Match","Mismatch"))</f>
        <v>No D&amp;B match</v>
      </c>
      <c r="V20" s="14" t="str">
        <f aca="false">IF(K20="","No D&amp;B match",IF(J20="","Missing in CRM",IF(J20=K20,"Match","Mismatch")))</f>
        <v>No D&amp;B match</v>
      </c>
      <c r="W20" s="14" t="str">
        <f aca="false">IF(M20="","No D&amp;B match",IF(L20="","Missing in CRM",IF(L20=M20,"Match","Mismatch")))</f>
        <v>No D&amp;B match</v>
      </c>
      <c r="X20" s="14" t="n">
        <f aca="false">COUNTIF(U20:W20,"&lt;&gt;Match")+IF(T20="past closed",1,0)</f>
        <v>3</v>
      </c>
      <c r="Y20" s="14" t="str">
        <f aca="false">IF(X20=0,"Clean","Review")</f>
        <v>Review</v>
      </c>
    </row>
    <row r="21" customFormat="false" ht="15" hidden="false" customHeight="false" outlineLevel="0" collapsed="false">
      <c r="A21" s="14" t="s">
        <v>439</v>
      </c>
      <c r="B21" s="14" t="s">
        <v>440</v>
      </c>
      <c r="C21" s="14" t="s">
        <v>227</v>
      </c>
      <c r="D21" s="14" t="s">
        <v>37</v>
      </c>
      <c r="E21" s="14" t="s">
        <v>441</v>
      </c>
      <c r="F21" s="14" t="s">
        <v>61</v>
      </c>
      <c r="G21" s="14" t="s">
        <v>442</v>
      </c>
      <c r="H21" s="14" t="s">
        <v>442</v>
      </c>
      <c r="I21" s="14" t="s">
        <v>406</v>
      </c>
      <c r="J21" s="14" t="n">
        <v>5961</v>
      </c>
      <c r="K21" s="14" t="n">
        <v>5961</v>
      </c>
      <c r="L21" s="14" t="n">
        <v>433836604</v>
      </c>
      <c r="M21" s="14" t="n">
        <v>433836604</v>
      </c>
      <c r="N21" s="14" t="s">
        <v>63</v>
      </c>
      <c r="O21" s="15" t="n">
        <v>45414</v>
      </c>
      <c r="P21" s="15" t="n">
        <v>45672</v>
      </c>
      <c r="Q21" s="14" t="s">
        <v>85</v>
      </c>
      <c r="R21" s="16" t="n">
        <v>87300</v>
      </c>
      <c r="S21" s="14" t="n">
        <f aca="false">IF(N21="Closed Won","",P21-ReportDate)</f>
        <v>-183</v>
      </c>
      <c r="T21" s="14" t="str">
        <f aca="false">IF(N21="Closed Won","closed",IF(S21&lt;0,"past closed",IF(S21&lt;=10,"update","on track")))</f>
        <v>past closed</v>
      </c>
      <c r="U21" s="14" t="str">
        <f aca="false">IF(H21="","No D&amp;B match",IF(TRIM(G21)=TRIM(H21),"Match","Mismatch"))</f>
        <v>Match</v>
      </c>
      <c r="V21" s="14" t="str">
        <f aca="false">IF(K21="","No D&amp;B match",IF(J21="","Missing in CRM",IF(J21=K21,"Match","Mismatch")))</f>
        <v>Match</v>
      </c>
      <c r="W21" s="14" t="str">
        <f aca="false">IF(M21="","No D&amp;B match",IF(L21="","Missing in CRM",IF(L21=M21,"Match","Mismatch")))</f>
        <v>Match</v>
      </c>
      <c r="X21" s="14" t="n">
        <f aca="false">COUNTIF(U21:W21,"&lt;&gt;Match")+IF(T21="past closed",1,0)</f>
        <v>1</v>
      </c>
      <c r="Y21" s="14" t="str">
        <f aca="false">IF(X21=0,"Clean","Review")</f>
        <v>Review</v>
      </c>
    </row>
    <row r="22" customFormat="false" ht="15" hidden="false" customHeight="false" outlineLevel="0" collapsed="false">
      <c r="A22" s="14" t="s">
        <v>443</v>
      </c>
      <c r="B22" s="14" t="s">
        <v>444</v>
      </c>
      <c r="C22" s="14" t="s">
        <v>171</v>
      </c>
      <c r="D22" s="14" t="s">
        <v>33</v>
      </c>
      <c r="E22" s="14" t="s">
        <v>445</v>
      </c>
      <c r="F22" s="14" t="s">
        <v>446</v>
      </c>
      <c r="G22" s="14" t="s">
        <v>447</v>
      </c>
      <c r="H22" s="14" t="s">
        <v>447</v>
      </c>
      <c r="I22" s="14" t="s">
        <v>419</v>
      </c>
      <c r="J22" s="14" t="n">
        <v>5999</v>
      </c>
      <c r="K22" s="14" t="n">
        <v>5999</v>
      </c>
      <c r="L22" s="14" t="n">
        <v>315165225</v>
      </c>
      <c r="M22" s="14" t="n">
        <v>315165225</v>
      </c>
      <c r="N22" s="14" t="s">
        <v>63</v>
      </c>
      <c r="O22" s="15" t="n">
        <v>45609</v>
      </c>
      <c r="P22" s="15" t="n">
        <v>45655</v>
      </c>
      <c r="Q22" s="14" t="s">
        <v>92</v>
      </c>
      <c r="R22" s="16" t="n">
        <v>50400</v>
      </c>
      <c r="S22" s="14" t="n">
        <f aca="false">IF(N22="Closed Won","",P22-ReportDate)</f>
        <v>-200</v>
      </c>
      <c r="T22" s="14" t="str">
        <f aca="false">IF(N22="Closed Won","closed",IF(S22&lt;0,"past closed",IF(S22&lt;=10,"update","on track")))</f>
        <v>past closed</v>
      </c>
      <c r="U22" s="14" t="str">
        <f aca="false">IF(H22="","No D&amp;B match",IF(TRIM(G22)=TRIM(H22),"Match","Mismatch"))</f>
        <v>Match</v>
      </c>
      <c r="V22" s="14" t="str">
        <f aca="false">IF(K22="","No D&amp;B match",IF(J22="","Missing in CRM",IF(J22=K22,"Match","Mismatch")))</f>
        <v>Match</v>
      </c>
      <c r="W22" s="14" t="str">
        <f aca="false">IF(M22="","No D&amp;B match",IF(L22="","Missing in CRM",IF(L22=M22,"Match","Mismatch")))</f>
        <v>Match</v>
      </c>
      <c r="X22" s="14" t="n">
        <f aca="false">COUNTIF(U22:W22,"&lt;&gt;Match")+IF(T22="past closed",1,0)</f>
        <v>1</v>
      </c>
      <c r="Y22" s="14" t="str">
        <f aca="false">IF(X22=0,"Clean","Review")</f>
        <v>Review</v>
      </c>
    </row>
    <row r="23" customFormat="false" ht="15" hidden="false" customHeight="false" outlineLevel="0" collapsed="false">
      <c r="A23" s="14" t="s">
        <v>448</v>
      </c>
      <c r="B23" s="14" t="s">
        <v>449</v>
      </c>
      <c r="C23" s="14" t="s">
        <v>450</v>
      </c>
      <c r="D23" s="14" t="s">
        <v>36</v>
      </c>
      <c r="E23" s="14" t="s">
        <v>451</v>
      </c>
      <c r="F23" s="14" t="s">
        <v>452</v>
      </c>
      <c r="G23" s="14" t="s">
        <v>453</v>
      </c>
      <c r="H23" s="14" t="s">
        <v>453</v>
      </c>
      <c r="I23" s="14" t="s">
        <v>396</v>
      </c>
      <c r="J23" s="14" t="n">
        <v>7011</v>
      </c>
      <c r="K23" s="14" t="n">
        <v>7011</v>
      </c>
      <c r="L23" s="14" t="n">
        <v>934006341</v>
      </c>
      <c r="M23" s="14" t="n">
        <v>934006341</v>
      </c>
      <c r="N23" s="14" t="s">
        <v>71</v>
      </c>
      <c r="O23" s="15" t="n">
        <v>45721</v>
      </c>
      <c r="P23" s="15" t="n">
        <v>45958</v>
      </c>
      <c r="Q23" s="14" t="s">
        <v>72</v>
      </c>
      <c r="R23" s="16" t="n">
        <v>162800</v>
      </c>
      <c r="S23" s="14" t="n">
        <f aca="false">IF(N23="Closed Won","",P23-ReportDate)</f>
        <v>103</v>
      </c>
      <c r="T23" s="14" t="str">
        <f aca="false">IF(N23="Closed Won","closed",IF(S23&lt;0,"past closed",IF(S23&lt;=10,"update","on track")))</f>
        <v>on track</v>
      </c>
      <c r="U23" s="14" t="str">
        <f aca="false">IF(H23="","No D&amp;B match",IF(TRIM(G23)=TRIM(H23),"Match","Mismatch"))</f>
        <v>Match</v>
      </c>
      <c r="V23" s="14" t="str">
        <f aca="false">IF(K23="","No D&amp;B match",IF(J23="","Missing in CRM",IF(J23=K23,"Match","Mismatch")))</f>
        <v>Match</v>
      </c>
      <c r="W23" s="14" t="str">
        <f aca="false">IF(M23="","No D&amp;B match",IF(L23="","Missing in CRM",IF(L23=M23,"Match","Mismatch")))</f>
        <v>Match</v>
      </c>
      <c r="X23" s="14" t="n">
        <f aca="false">COUNTIF(U23:W23,"&lt;&gt;Match")+IF(T23="past closed",1,0)</f>
        <v>0</v>
      </c>
      <c r="Y23" s="14" t="str">
        <f aca="false">IF(X23=0,"Clean","Review")</f>
        <v>Clean</v>
      </c>
    </row>
    <row r="24" customFormat="false" ht="15" hidden="false" customHeight="false" outlineLevel="0" collapsed="false">
      <c r="A24" s="14" t="s">
        <v>454</v>
      </c>
      <c r="B24" s="14" t="s">
        <v>455</v>
      </c>
      <c r="C24" s="14" t="s">
        <v>122</v>
      </c>
      <c r="D24" s="14" t="s">
        <v>32</v>
      </c>
      <c r="E24" s="14" t="s">
        <v>456</v>
      </c>
      <c r="F24" s="14" t="s">
        <v>182</v>
      </c>
      <c r="G24" s="14" t="s">
        <v>457</v>
      </c>
      <c r="H24" s="14" t="s">
        <v>457</v>
      </c>
      <c r="I24" s="14" t="s">
        <v>387</v>
      </c>
      <c r="J24" s="14" t="n">
        <v>5511</v>
      </c>
      <c r="K24" s="14" t="n">
        <v>5511</v>
      </c>
      <c r="L24" s="14" t="n">
        <v>240881601</v>
      </c>
      <c r="M24" s="14" t="n">
        <v>240881601</v>
      </c>
      <c r="N24" s="14" t="s">
        <v>63</v>
      </c>
      <c r="O24" s="15" t="n">
        <v>45317</v>
      </c>
      <c r="P24" s="15" t="n">
        <v>45382</v>
      </c>
      <c r="Q24" s="14" t="s">
        <v>458</v>
      </c>
      <c r="R24" s="16" t="n">
        <v>269600</v>
      </c>
      <c r="S24" s="14" t="n">
        <f aca="false">IF(N24="Closed Won","",P24-ReportDate)</f>
        <v>-473</v>
      </c>
      <c r="T24" s="14" t="str">
        <f aca="false">IF(N24="Closed Won","closed",IF(S24&lt;0,"past closed",IF(S24&lt;=10,"update","on track")))</f>
        <v>past closed</v>
      </c>
      <c r="U24" s="14" t="str">
        <f aca="false">IF(H24="","No D&amp;B match",IF(TRIM(G24)=TRIM(H24),"Match","Mismatch"))</f>
        <v>Match</v>
      </c>
      <c r="V24" s="14" t="str">
        <f aca="false">IF(K24="","No D&amp;B match",IF(J24="","Missing in CRM",IF(J24=K24,"Match","Mismatch")))</f>
        <v>Match</v>
      </c>
      <c r="W24" s="14" t="str">
        <f aca="false">IF(M24="","No D&amp;B match",IF(L24="","Missing in CRM",IF(L24=M24,"Match","Mismatch")))</f>
        <v>Match</v>
      </c>
      <c r="X24" s="14" t="n">
        <f aca="false">COUNTIF(U24:W24,"&lt;&gt;Match")+IF(T24="past closed",1,0)</f>
        <v>1</v>
      </c>
      <c r="Y24" s="14" t="str">
        <f aca="false">IF(X24=0,"Clean","Review")</f>
        <v>Review</v>
      </c>
    </row>
    <row r="25" customFormat="false" ht="15" hidden="false" customHeight="false" outlineLevel="0" collapsed="false">
      <c r="A25" s="14" t="s">
        <v>459</v>
      </c>
      <c r="B25" s="14" t="s">
        <v>460</v>
      </c>
      <c r="C25" s="14" t="s">
        <v>144</v>
      </c>
      <c r="D25" s="14" t="s">
        <v>34</v>
      </c>
      <c r="E25" s="14" t="s">
        <v>461</v>
      </c>
      <c r="F25" s="14" t="s">
        <v>187</v>
      </c>
      <c r="G25" s="14" t="s">
        <v>462</v>
      </c>
      <c r="H25" s="14" t="s">
        <v>463</v>
      </c>
      <c r="I25" s="14" t="s">
        <v>406</v>
      </c>
      <c r="J25" s="14" t="n">
        <v>5961</v>
      </c>
      <c r="K25" s="14" t="n">
        <v>5961</v>
      </c>
      <c r="L25" s="14" t="n">
        <v>140827458</v>
      </c>
      <c r="M25" s="14" t="n">
        <v>140827458</v>
      </c>
      <c r="N25" s="14" t="s">
        <v>63</v>
      </c>
      <c r="O25" s="15" t="n">
        <v>45547</v>
      </c>
      <c r="P25" s="15" t="n">
        <v>45802</v>
      </c>
      <c r="Q25" s="14" t="s">
        <v>203</v>
      </c>
      <c r="R25" s="16" t="n">
        <v>37900</v>
      </c>
      <c r="S25" s="14" t="n">
        <f aca="false">IF(N25="Closed Won","",P25-ReportDate)</f>
        <v>-53</v>
      </c>
      <c r="T25" s="14" t="str">
        <f aca="false">IF(N25="Closed Won","closed",IF(S25&lt;0,"past closed",IF(S25&lt;=10,"update","on track")))</f>
        <v>past closed</v>
      </c>
      <c r="U25" s="14" t="str">
        <f aca="false">IF(H25="","No D&amp;B match",IF(TRIM(G25)=TRIM(H25),"Match","Mismatch"))</f>
        <v>Mismatch</v>
      </c>
      <c r="V25" s="14" t="str">
        <f aca="false">IF(K25="","No D&amp;B match",IF(J25="","Missing in CRM",IF(J25=K25,"Match","Mismatch")))</f>
        <v>Match</v>
      </c>
      <c r="W25" s="14" t="str">
        <f aca="false">IF(M25="","No D&amp;B match",IF(L25="","Missing in CRM",IF(L25=M25,"Match","Mismatch")))</f>
        <v>Match</v>
      </c>
      <c r="X25" s="14" t="n">
        <f aca="false">COUNTIF(U25:W25,"&lt;&gt;Match")+IF(T25="past closed",1,0)</f>
        <v>2</v>
      </c>
      <c r="Y25" s="14" t="str">
        <f aca="false">IF(X25=0,"Clean","Review")</f>
        <v>Review</v>
      </c>
    </row>
    <row r="26" customFormat="false" ht="15" hidden="false" customHeight="false" outlineLevel="0" collapsed="false">
      <c r="A26" s="14" t="s">
        <v>464</v>
      </c>
      <c r="B26" s="14" t="s">
        <v>465</v>
      </c>
      <c r="C26" s="14" t="s">
        <v>138</v>
      </c>
      <c r="D26" s="14" t="s">
        <v>33</v>
      </c>
      <c r="E26" s="14" t="s">
        <v>466</v>
      </c>
      <c r="F26" s="14" t="s">
        <v>140</v>
      </c>
      <c r="G26" s="14" t="s">
        <v>467</v>
      </c>
      <c r="H26" s="14" t="s">
        <v>467</v>
      </c>
      <c r="I26" s="14" t="s">
        <v>419</v>
      </c>
      <c r="J26" s="14" t="n">
        <v>5999</v>
      </c>
      <c r="K26" s="14" t="n">
        <v>5999</v>
      </c>
      <c r="L26" s="14" t="n">
        <v>284497694</v>
      </c>
      <c r="M26" s="14" t="n">
        <v>284497694</v>
      </c>
      <c r="N26" s="14" t="s">
        <v>178</v>
      </c>
      <c r="O26" s="15" t="n">
        <v>45551</v>
      </c>
      <c r="P26" s="15" t="n">
        <v>45635</v>
      </c>
      <c r="Q26" s="14" t="s">
        <v>92</v>
      </c>
      <c r="R26" s="16" t="n">
        <v>116200</v>
      </c>
      <c r="S26" s="14" t="n">
        <f aca="false">IF(N26="Closed Won","",P26-ReportDate)</f>
        <v>-220</v>
      </c>
      <c r="T26" s="14" t="str">
        <f aca="false">IF(N26="Closed Won","closed",IF(S26&lt;0,"past closed",IF(S26&lt;=10,"update","on track")))</f>
        <v>past closed</v>
      </c>
      <c r="U26" s="14" t="str">
        <f aca="false">IF(H26="","No D&amp;B match",IF(TRIM(G26)=TRIM(H26),"Match","Mismatch"))</f>
        <v>Match</v>
      </c>
      <c r="V26" s="14" t="str">
        <f aca="false">IF(K26="","No D&amp;B match",IF(J26="","Missing in CRM",IF(J26=K26,"Match","Mismatch")))</f>
        <v>Match</v>
      </c>
      <c r="W26" s="14" t="str">
        <f aca="false">IF(M26="","No D&amp;B match",IF(L26="","Missing in CRM",IF(L26=M26,"Match","Mismatch")))</f>
        <v>Match</v>
      </c>
      <c r="X26" s="14" t="n">
        <f aca="false">COUNTIF(U26:W26,"&lt;&gt;Match")+IF(T26="past closed",1,0)</f>
        <v>1</v>
      </c>
      <c r="Y26" s="14" t="str">
        <f aca="false">IF(X26=0,"Clean","Review")</f>
        <v>Review</v>
      </c>
    </row>
    <row r="27" customFormat="false" ht="15" hidden="false" customHeight="false" outlineLevel="0" collapsed="false">
      <c r="A27" s="14" t="s">
        <v>73</v>
      </c>
      <c r="B27" s="14" t="s">
        <v>74</v>
      </c>
      <c r="C27" s="14" t="s">
        <v>75</v>
      </c>
      <c r="D27" s="14" t="s">
        <v>32</v>
      </c>
      <c r="E27" s="14" t="s">
        <v>76</v>
      </c>
      <c r="F27" s="14" t="s">
        <v>77</v>
      </c>
      <c r="G27" s="14" t="s">
        <v>78</v>
      </c>
      <c r="H27" s="14" t="s">
        <v>78</v>
      </c>
      <c r="I27" s="14" t="s">
        <v>468</v>
      </c>
      <c r="J27" s="14"/>
      <c r="K27" s="14" t="n">
        <v>8062</v>
      </c>
      <c r="L27" s="14"/>
      <c r="M27" s="14" t="n">
        <v>532093736</v>
      </c>
      <c r="N27" s="14" t="s">
        <v>71</v>
      </c>
      <c r="O27" s="15" t="n">
        <v>45404</v>
      </c>
      <c r="P27" s="15" t="n">
        <v>45469</v>
      </c>
      <c r="Q27" s="14" t="s">
        <v>64</v>
      </c>
      <c r="R27" s="16" t="n">
        <v>268800</v>
      </c>
      <c r="S27" s="14" t="n">
        <f aca="false">IF(N27="Closed Won","",P27-ReportDate)</f>
        <v>-386</v>
      </c>
      <c r="T27" s="14" t="str">
        <f aca="false">IF(N27="Closed Won","closed",IF(S27&lt;0,"past closed",IF(S27&lt;=10,"update","on track")))</f>
        <v>past closed</v>
      </c>
      <c r="U27" s="14" t="str">
        <f aca="false">IF(H27="","No D&amp;B match",IF(TRIM(G27)=TRIM(H27),"Match","Mismatch"))</f>
        <v>Match</v>
      </c>
      <c r="V27" s="14" t="str">
        <f aca="false">IF(K27="","No D&amp;B match",IF(J27="","Missing in CRM",IF(J27=K27,"Match","Mismatch")))</f>
        <v>Missing in CRM</v>
      </c>
      <c r="W27" s="14" t="str">
        <f aca="false">IF(M27="","No D&amp;B match",IF(L27="","Missing in CRM",IF(L27=M27,"Match","Mismatch")))</f>
        <v>Missing in CRM</v>
      </c>
      <c r="X27" s="14" t="n">
        <f aca="false">COUNTIF(U27:W27,"&lt;&gt;Match")+IF(T27="past closed",1,0)</f>
        <v>3</v>
      </c>
      <c r="Y27" s="14" t="str">
        <f aca="false">IF(X27=0,"Clean","Review")</f>
        <v>Review</v>
      </c>
    </row>
    <row r="28" customFormat="false" ht="15" hidden="false" customHeight="false" outlineLevel="0" collapsed="false">
      <c r="A28" s="14" t="s">
        <v>469</v>
      </c>
      <c r="B28" s="14" t="s">
        <v>470</v>
      </c>
      <c r="C28" s="14" t="s">
        <v>103</v>
      </c>
      <c r="D28" s="14" t="s">
        <v>32</v>
      </c>
      <c r="E28" s="14" t="s">
        <v>471</v>
      </c>
      <c r="F28" s="14" t="s">
        <v>182</v>
      </c>
      <c r="G28" s="14" t="s">
        <v>472</v>
      </c>
      <c r="H28" s="14"/>
      <c r="I28" s="14" t="s">
        <v>381</v>
      </c>
      <c r="J28" s="14"/>
      <c r="K28" s="14"/>
      <c r="L28" s="14"/>
      <c r="M28" s="14"/>
      <c r="N28" s="14" t="s">
        <v>107</v>
      </c>
      <c r="O28" s="15" t="n">
        <v>45589</v>
      </c>
      <c r="P28" s="15" t="n">
        <v>45880</v>
      </c>
      <c r="Q28" s="14" t="s">
        <v>113</v>
      </c>
      <c r="R28" s="16" t="n">
        <v>268700</v>
      </c>
      <c r="S28" s="14" t="n">
        <f aca="false">IF(N28="Closed Won","",P28-ReportDate)</f>
        <v>25</v>
      </c>
      <c r="T28" s="14" t="str">
        <f aca="false">IF(N28="Closed Won","closed",IF(S28&lt;0,"past closed",IF(S28&lt;=10,"update","on track")))</f>
        <v>on track</v>
      </c>
      <c r="U28" s="14" t="str">
        <f aca="false">IF(H28="","No D&amp;B match",IF(TRIM(G28)=TRIM(H28),"Match","Mismatch"))</f>
        <v>No D&amp;B match</v>
      </c>
      <c r="V28" s="14" t="str">
        <f aca="false">IF(K28="","No D&amp;B match",IF(J28="","Missing in CRM",IF(J28=K28,"Match","Mismatch")))</f>
        <v>No D&amp;B match</v>
      </c>
      <c r="W28" s="14" t="str">
        <f aca="false">IF(M28="","No D&amp;B match",IF(L28="","Missing in CRM",IF(L28=M28,"Match","Mismatch")))</f>
        <v>No D&amp;B match</v>
      </c>
      <c r="X28" s="14" t="n">
        <f aca="false">COUNTIF(U28:W28,"&lt;&gt;Match")+IF(T28="past closed",1,0)</f>
        <v>3</v>
      </c>
      <c r="Y28" s="14" t="str">
        <f aca="false">IF(X28=0,"Clean","Review")</f>
        <v>Review</v>
      </c>
    </row>
    <row r="29" customFormat="false" ht="15" hidden="false" customHeight="false" outlineLevel="0" collapsed="false">
      <c r="A29" s="14" t="s">
        <v>473</v>
      </c>
      <c r="B29" s="14" t="s">
        <v>474</v>
      </c>
      <c r="C29" s="14" t="s">
        <v>81</v>
      </c>
      <c r="D29" s="14" t="s">
        <v>38</v>
      </c>
      <c r="E29" s="14" t="s">
        <v>475</v>
      </c>
      <c r="F29" s="14" t="s">
        <v>264</v>
      </c>
      <c r="G29" s="14" t="s">
        <v>476</v>
      </c>
      <c r="H29" s="14" t="s">
        <v>476</v>
      </c>
      <c r="I29" s="14" t="s">
        <v>468</v>
      </c>
      <c r="J29" s="14" t="n">
        <v>5961</v>
      </c>
      <c r="K29" s="14" t="n">
        <v>8062</v>
      </c>
      <c r="L29" s="14" t="n">
        <v>735301396</v>
      </c>
      <c r="M29" s="14" t="n">
        <v>421429343</v>
      </c>
      <c r="N29" s="14" t="s">
        <v>63</v>
      </c>
      <c r="O29" s="15" t="n">
        <v>45743</v>
      </c>
      <c r="P29" s="15" t="n">
        <v>45934</v>
      </c>
      <c r="Q29" s="14" t="s">
        <v>72</v>
      </c>
      <c r="R29" s="16" t="n">
        <v>51000</v>
      </c>
      <c r="S29" s="14" t="n">
        <f aca="false">IF(N29="Closed Won","",P29-ReportDate)</f>
        <v>79</v>
      </c>
      <c r="T29" s="14" t="str">
        <f aca="false">IF(N29="Closed Won","closed",IF(S29&lt;0,"past closed",IF(S29&lt;=10,"update","on track")))</f>
        <v>on track</v>
      </c>
      <c r="U29" s="14" t="str">
        <f aca="false">IF(H29="","No D&amp;B match",IF(TRIM(G29)=TRIM(H29),"Match","Mismatch"))</f>
        <v>Match</v>
      </c>
      <c r="V29" s="14" t="str">
        <f aca="false">IF(K29="","No D&amp;B match",IF(J29="","Missing in CRM",IF(J29=K29,"Match","Mismatch")))</f>
        <v>Mismatch</v>
      </c>
      <c r="W29" s="14" t="str">
        <f aca="false">IF(M29="","No D&amp;B match",IF(L29="","Missing in CRM",IF(L29=M29,"Match","Mismatch")))</f>
        <v>Mismatch</v>
      </c>
      <c r="X29" s="14" t="n">
        <f aca="false">COUNTIF(U29:W29,"&lt;&gt;Match")+IF(T29="past closed",1,0)</f>
        <v>2</v>
      </c>
      <c r="Y29" s="14" t="str">
        <f aca="false">IF(X29=0,"Clean","Review")</f>
        <v>Review</v>
      </c>
    </row>
    <row r="30" customFormat="false" ht="15" hidden="false" customHeight="false" outlineLevel="0" collapsed="false">
      <c r="A30" s="14" t="s">
        <v>225</v>
      </c>
      <c r="B30" s="14" t="s">
        <v>226</v>
      </c>
      <c r="C30" s="14" t="s">
        <v>227</v>
      </c>
      <c r="D30" s="14" t="s">
        <v>37</v>
      </c>
      <c r="E30" s="14" t="s">
        <v>228</v>
      </c>
      <c r="F30" s="14" t="s">
        <v>61</v>
      </c>
      <c r="G30" s="14" t="s">
        <v>229</v>
      </c>
      <c r="H30" s="14" t="s">
        <v>229</v>
      </c>
      <c r="I30" s="14" t="s">
        <v>387</v>
      </c>
      <c r="J30" s="14"/>
      <c r="K30" s="14" t="n">
        <v>5511</v>
      </c>
      <c r="L30" s="14"/>
      <c r="M30" s="14" t="n">
        <v>965590147</v>
      </c>
      <c r="N30" s="14" t="s">
        <v>107</v>
      </c>
      <c r="O30" s="15" t="n">
        <v>45643</v>
      </c>
      <c r="P30" s="15" t="n">
        <v>45777</v>
      </c>
      <c r="Q30" s="14" t="s">
        <v>203</v>
      </c>
      <c r="R30" s="16" t="n">
        <v>31500</v>
      </c>
      <c r="S30" s="14" t="n">
        <f aca="false">IF(N30="Closed Won","",P30-ReportDate)</f>
        <v>-78</v>
      </c>
      <c r="T30" s="14" t="str">
        <f aca="false">IF(N30="Closed Won","closed",IF(S30&lt;0,"past closed",IF(S30&lt;=10,"update","on track")))</f>
        <v>past closed</v>
      </c>
      <c r="U30" s="14" t="str">
        <f aca="false">IF(H30="","No D&amp;B match",IF(TRIM(G30)=TRIM(H30),"Match","Mismatch"))</f>
        <v>Match</v>
      </c>
      <c r="V30" s="14" t="str">
        <f aca="false">IF(K30="","No D&amp;B match",IF(J30="","Missing in CRM",IF(J30=K30,"Match","Mismatch")))</f>
        <v>Missing in CRM</v>
      </c>
      <c r="W30" s="14" t="str">
        <f aca="false">IF(M30="","No D&amp;B match",IF(L30="","Missing in CRM",IF(L30=M30,"Match","Mismatch")))</f>
        <v>Missing in CRM</v>
      </c>
      <c r="X30" s="14" t="n">
        <f aca="false">COUNTIF(U30:W30,"&lt;&gt;Match")+IF(T30="past closed",1,0)</f>
        <v>3</v>
      </c>
      <c r="Y30" s="14" t="str">
        <f aca="false">IF(X30=0,"Clean","Review")</f>
        <v>Review</v>
      </c>
    </row>
    <row r="31" customFormat="false" ht="15" hidden="false" customHeight="false" outlineLevel="0" collapsed="false">
      <c r="A31" s="14" t="s">
        <v>477</v>
      </c>
      <c r="B31" s="14" t="s">
        <v>478</v>
      </c>
      <c r="C31" s="14" t="s">
        <v>191</v>
      </c>
      <c r="D31" s="14" t="s">
        <v>34</v>
      </c>
      <c r="E31" s="14" t="s">
        <v>479</v>
      </c>
      <c r="F31" s="14" t="s">
        <v>326</v>
      </c>
      <c r="G31" s="14" t="s">
        <v>480</v>
      </c>
      <c r="H31" s="14" t="s">
        <v>480</v>
      </c>
      <c r="I31" s="14" t="s">
        <v>375</v>
      </c>
      <c r="J31" s="14" t="n">
        <v>4841</v>
      </c>
      <c r="K31" s="14" t="n">
        <v>4841</v>
      </c>
      <c r="L31" s="14" t="n">
        <v>292970593</v>
      </c>
      <c r="M31" s="14" t="n">
        <v>292970593</v>
      </c>
      <c r="N31" s="14" t="s">
        <v>63</v>
      </c>
      <c r="O31" s="15" t="n">
        <v>45336</v>
      </c>
      <c r="P31" s="15" t="n">
        <v>45428</v>
      </c>
      <c r="Q31" s="14" t="s">
        <v>64</v>
      </c>
      <c r="R31" s="16" t="n">
        <v>70800</v>
      </c>
      <c r="S31" s="14" t="n">
        <f aca="false">IF(N31="Closed Won","",P31-ReportDate)</f>
        <v>-427</v>
      </c>
      <c r="T31" s="14" t="str">
        <f aca="false">IF(N31="Closed Won","closed",IF(S31&lt;0,"past closed",IF(S31&lt;=10,"update","on track")))</f>
        <v>past closed</v>
      </c>
      <c r="U31" s="14" t="str">
        <f aca="false">IF(H31="","No D&amp;B match",IF(TRIM(G31)=TRIM(H31),"Match","Mismatch"))</f>
        <v>Match</v>
      </c>
      <c r="V31" s="14" t="str">
        <f aca="false">IF(K31="","No D&amp;B match",IF(J31="","Missing in CRM",IF(J31=K31,"Match","Mismatch")))</f>
        <v>Match</v>
      </c>
      <c r="W31" s="14" t="str">
        <f aca="false">IF(M31="","No D&amp;B match",IF(L31="","Missing in CRM",IF(L31=M31,"Match","Mismatch")))</f>
        <v>Match</v>
      </c>
      <c r="X31" s="14" t="n">
        <f aca="false">COUNTIF(U31:W31,"&lt;&gt;Match")+IF(T31="past closed",1,0)</f>
        <v>1</v>
      </c>
      <c r="Y31" s="14" t="str">
        <f aca="false">IF(X31=0,"Clean","Review")</f>
        <v>Review</v>
      </c>
    </row>
    <row r="32" customFormat="false" ht="15" hidden="false" customHeight="false" outlineLevel="0" collapsed="false">
      <c r="A32" s="14" t="s">
        <v>199</v>
      </c>
      <c r="B32" s="14" t="s">
        <v>200</v>
      </c>
      <c r="C32" s="14" t="s">
        <v>161</v>
      </c>
      <c r="D32" s="14" t="s">
        <v>35</v>
      </c>
      <c r="E32" s="14" t="s">
        <v>201</v>
      </c>
      <c r="F32" s="14" t="s">
        <v>129</v>
      </c>
      <c r="G32" s="14" t="s">
        <v>202</v>
      </c>
      <c r="H32" s="14" t="s">
        <v>202</v>
      </c>
      <c r="I32" s="14" t="s">
        <v>468</v>
      </c>
      <c r="J32" s="14" t="n">
        <v>8062</v>
      </c>
      <c r="K32" s="14" t="n">
        <v>8062</v>
      </c>
      <c r="L32" s="14" t="n">
        <v>881797601</v>
      </c>
      <c r="M32" s="14" t="n">
        <v>881797601</v>
      </c>
      <c r="N32" s="14" t="s">
        <v>107</v>
      </c>
      <c r="O32" s="15" t="n">
        <v>45574</v>
      </c>
      <c r="P32" s="15" t="n">
        <v>45754</v>
      </c>
      <c r="Q32" s="14" t="s">
        <v>203</v>
      </c>
      <c r="R32" s="16" t="n">
        <v>20900</v>
      </c>
      <c r="S32" s="14" t="n">
        <f aca="false">IF(N32="Closed Won","",P32-ReportDate)</f>
        <v>-101</v>
      </c>
      <c r="T32" s="14" t="str">
        <f aca="false">IF(N32="Closed Won","closed",IF(S32&lt;0,"past closed",IF(S32&lt;=10,"update","on track")))</f>
        <v>past closed</v>
      </c>
      <c r="U32" s="14" t="str">
        <f aca="false">IF(H32="","No D&amp;B match",IF(TRIM(G32)=TRIM(H32),"Match","Mismatch"))</f>
        <v>Match</v>
      </c>
      <c r="V32" s="14" t="str">
        <f aca="false">IF(K32="","No D&amp;B match",IF(J32="","Missing in CRM",IF(J32=K32,"Match","Mismatch")))</f>
        <v>Match</v>
      </c>
      <c r="W32" s="14" t="str">
        <f aca="false">IF(M32="","No D&amp;B match",IF(L32="","Missing in CRM",IF(L32=M32,"Match","Mismatch")))</f>
        <v>Match</v>
      </c>
      <c r="X32" s="14" t="n">
        <f aca="false">COUNTIF(U32:W32,"&lt;&gt;Match")+IF(T32="past closed",1,0)</f>
        <v>1</v>
      </c>
      <c r="Y32" s="14" t="str">
        <f aca="false">IF(X32=0,"Clean","Review")</f>
        <v>Review</v>
      </c>
    </row>
    <row r="33" customFormat="false" ht="15" hidden="false" customHeight="false" outlineLevel="0" collapsed="false">
      <c r="A33" s="14" t="s">
        <v>315</v>
      </c>
      <c r="B33" s="14" t="s">
        <v>316</v>
      </c>
      <c r="C33" s="14" t="s">
        <v>81</v>
      </c>
      <c r="D33" s="14" t="s">
        <v>38</v>
      </c>
      <c r="E33" s="14" t="s">
        <v>317</v>
      </c>
      <c r="F33" s="14" t="s">
        <v>217</v>
      </c>
      <c r="G33" s="14" t="s">
        <v>318</v>
      </c>
      <c r="H33" s="14" t="s">
        <v>318</v>
      </c>
      <c r="I33" s="14" t="s">
        <v>375</v>
      </c>
      <c r="J33" s="14" t="n">
        <v>4841</v>
      </c>
      <c r="K33" s="14" t="n">
        <v>4841</v>
      </c>
      <c r="L33" s="14" t="n">
        <v>110499490</v>
      </c>
      <c r="M33" s="14" t="n">
        <v>110499490</v>
      </c>
      <c r="N33" s="14" t="s">
        <v>63</v>
      </c>
      <c r="O33" s="15" t="n">
        <v>45729</v>
      </c>
      <c r="P33" s="15" t="n">
        <v>45880</v>
      </c>
      <c r="Q33" s="14" t="s">
        <v>113</v>
      </c>
      <c r="R33" s="16" t="n">
        <v>102500</v>
      </c>
      <c r="S33" s="14" t="n">
        <f aca="false">IF(N33="Closed Won","",P33-ReportDate)</f>
        <v>25</v>
      </c>
      <c r="T33" s="14" t="str">
        <f aca="false">IF(N33="Closed Won","closed",IF(S33&lt;0,"past closed",IF(S33&lt;=10,"update","on track")))</f>
        <v>on track</v>
      </c>
      <c r="U33" s="14" t="str">
        <f aca="false">IF(H33="","No D&amp;B match",IF(TRIM(G33)=TRIM(H33),"Match","Mismatch"))</f>
        <v>Match</v>
      </c>
      <c r="V33" s="14" t="str">
        <f aca="false">IF(K33="","No D&amp;B match",IF(J33="","Missing in CRM",IF(J33=K33,"Match","Mismatch")))</f>
        <v>Match</v>
      </c>
      <c r="W33" s="14" t="str">
        <f aca="false">IF(M33="","No D&amp;B match",IF(L33="","Missing in CRM",IF(L33=M33,"Match","Mismatch")))</f>
        <v>Match</v>
      </c>
      <c r="X33" s="14" t="n">
        <f aca="false">COUNTIF(U33:W33,"&lt;&gt;Match")+IF(T33="past closed",1,0)</f>
        <v>0</v>
      </c>
      <c r="Y33" s="14" t="str">
        <f aca="false">IF(X33=0,"Clean","Review")</f>
        <v>Clean</v>
      </c>
    </row>
    <row r="34" customFormat="false" ht="15" hidden="false" customHeight="false" outlineLevel="0" collapsed="false">
      <c r="A34" s="14" t="s">
        <v>93</v>
      </c>
      <c r="B34" s="14" t="s">
        <v>94</v>
      </c>
      <c r="C34" s="14" t="s">
        <v>95</v>
      </c>
      <c r="D34" s="14" t="s">
        <v>34</v>
      </c>
      <c r="E34" s="14" t="s">
        <v>96</v>
      </c>
      <c r="F34" s="14" t="s">
        <v>97</v>
      </c>
      <c r="G34" s="14" t="s">
        <v>98</v>
      </c>
      <c r="H34" s="14" t="s">
        <v>98</v>
      </c>
      <c r="I34" s="14" t="s">
        <v>468</v>
      </c>
      <c r="J34" s="14" t="n">
        <v>8062</v>
      </c>
      <c r="K34" s="14" t="n">
        <v>8062</v>
      </c>
      <c r="L34" s="14" t="n">
        <v>616159236</v>
      </c>
      <c r="M34" s="14" t="n">
        <v>616159236</v>
      </c>
      <c r="N34" s="14" t="s">
        <v>99</v>
      </c>
      <c r="O34" s="15" t="n">
        <v>45330</v>
      </c>
      <c r="P34" s="15" t="n">
        <v>45559</v>
      </c>
      <c r="Q34" s="14" t="s">
        <v>100</v>
      </c>
      <c r="R34" s="16" t="n">
        <v>171200</v>
      </c>
      <c r="S34" s="14" t="str">
        <f aca="false">IF(N34="Closed Won","",P34-ReportDate)</f>
        <v/>
      </c>
      <c r="T34" s="14" t="str">
        <f aca="false">IF(N34="Closed Won","closed",IF(S34&lt;0,"past closed",IF(S34&lt;=10,"update","on track")))</f>
        <v>closed</v>
      </c>
      <c r="U34" s="14" t="str">
        <f aca="false">IF(H34="","No D&amp;B match",IF(TRIM(G34)=TRIM(H34),"Match","Mismatch"))</f>
        <v>Match</v>
      </c>
      <c r="V34" s="14" t="str">
        <f aca="false">IF(K34="","No D&amp;B match",IF(J34="","Missing in CRM",IF(J34=K34,"Match","Mismatch")))</f>
        <v>Match</v>
      </c>
      <c r="W34" s="14" t="str">
        <f aca="false">IF(M34="","No D&amp;B match",IF(L34="","Missing in CRM",IF(L34=M34,"Match","Mismatch")))</f>
        <v>Match</v>
      </c>
      <c r="X34" s="14" t="n">
        <f aca="false">COUNTIF(U34:W34,"&lt;&gt;Match")+IF(T34="past closed",1,0)</f>
        <v>0</v>
      </c>
      <c r="Y34" s="14" t="str">
        <f aca="false">IF(X34=0,"Clean","Review")</f>
        <v>Clean</v>
      </c>
    </row>
    <row r="35" customFormat="false" ht="15" hidden="false" customHeight="false" outlineLevel="0" collapsed="false">
      <c r="A35" s="14" t="s">
        <v>481</v>
      </c>
      <c r="B35" s="14" t="s">
        <v>482</v>
      </c>
      <c r="C35" s="14" t="s">
        <v>483</v>
      </c>
      <c r="D35" s="14" t="s">
        <v>34</v>
      </c>
      <c r="E35" s="14" t="s">
        <v>484</v>
      </c>
      <c r="F35" s="14" t="s">
        <v>193</v>
      </c>
      <c r="G35" s="14" t="s">
        <v>485</v>
      </c>
      <c r="H35" s="14" t="s">
        <v>486</v>
      </c>
      <c r="I35" s="14" t="s">
        <v>381</v>
      </c>
      <c r="J35" s="14" t="n">
        <v>5122</v>
      </c>
      <c r="K35" s="14" t="n">
        <v>5122</v>
      </c>
      <c r="L35" s="14" t="n">
        <v>330285644</v>
      </c>
      <c r="M35" s="14" t="n">
        <v>330285644</v>
      </c>
      <c r="N35" s="14" t="s">
        <v>178</v>
      </c>
      <c r="O35" s="15" t="n">
        <v>45567</v>
      </c>
      <c r="P35" s="15" t="n">
        <v>45734</v>
      </c>
      <c r="Q35" s="14" t="s">
        <v>85</v>
      </c>
      <c r="R35" s="16" t="n">
        <v>395900</v>
      </c>
      <c r="S35" s="14" t="n">
        <f aca="false">IF(N35="Closed Won","",P35-ReportDate)</f>
        <v>-121</v>
      </c>
      <c r="T35" s="14" t="str">
        <f aca="false">IF(N35="Closed Won","closed",IF(S35&lt;0,"past closed",IF(S35&lt;=10,"update","on track")))</f>
        <v>past closed</v>
      </c>
      <c r="U35" s="14" t="str">
        <f aca="false">IF(H35="","No D&amp;B match",IF(TRIM(G35)=TRIM(H35),"Match","Mismatch"))</f>
        <v>Mismatch</v>
      </c>
      <c r="V35" s="14" t="str">
        <f aca="false">IF(K35="","No D&amp;B match",IF(J35="","Missing in CRM",IF(J35=K35,"Match","Mismatch")))</f>
        <v>Match</v>
      </c>
      <c r="W35" s="14" t="str">
        <f aca="false">IF(M35="","No D&amp;B match",IF(L35="","Missing in CRM",IF(L35=M35,"Match","Mismatch")))</f>
        <v>Match</v>
      </c>
      <c r="X35" s="14" t="n">
        <f aca="false">COUNTIF(U35:W35,"&lt;&gt;Match")+IF(T35="past closed",1,0)</f>
        <v>2</v>
      </c>
      <c r="Y35" s="14" t="str">
        <f aca="false">IF(X35=0,"Clean","Review")</f>
        <v>Review</v>
      </c>
    </row>
    <row r="36" customFormat="false" ht="15" hidden="false" customHeight="false" outlineLevel="0" collapsed="false">
      <c r="A36" s="14" t="s">
        <v>333</v>
      </c>
      <c r="B36" s="14" t="s">
        <v>334</v>
      </c>
      <c r="C36" s="14" t="s">
        <v>144</v>
      </c>
      <c r="D36" s="14" t="s">
        <v>34</v>
      </c>
      <c r="E36" s="14" t="s">
        <v>335</v>
      </c>
      <c r="F36" s="14" t="s">
        <v>326</v>
      </c>
      <c r="G36" s="14" t="s">
        <v>336</v>
      </c>
      <c r="H36" s="14"/>
      <c r="I36" s="14" t="s">
        <v>468</v>
      </c>
      <c r="J36" s="14"/>
      <c r="K36" s="14"/>
      <c r="L36" s="14"/>
      <c r="M36" s="14"/>
      <c r="N36" s="14" t="s">
        <v>99</v>
      </c>
      <c r="O36" s="15" t="n">
        <v>45620</v>
      </c>
      <c r="P36" s="15" t="n">
        <v>45682</v>
      </c>
      <c r="Q36" s="14" t="s">
        <v>85</v>
      </c>
      <c r="R36" s="16" t="n">
        <v>110500</v>
      </c>
      <c r="S36" s="14" t="str">
        <f aca="false">IF(N36="Closed Won","",P36-ReportDate)</f>
        <v/>
      </c>
      <c r="T36" s="14" t="str">
        <f aca="false">IF(N36="Closed Won","closed",IF(S36&lt;0,"past closed",IF(S36&lt;=10,"update","on track")))</f>
        <v>closed</v>
      </c>
      <c r="U36" s="14" t="str">
        <f aca="false">IF(H36="","No D&amp;B match",IF(TRIM(G36)=TRIM(H36),"Match","Mismatch"))</f>
        <v>No D&amp;B match</v>
      </c>
      <c r="V36" s="14" t="str">
        <f aca="false">IF(K36="","No D&amp;B match",IF(J36="","Missing in CRM",IF(J36=K36,"Match","Mismatch")))</f>
        <v>No D&amp;B match</v>
      </c>
      <c r="W36" s="14" t="str">
        <f aca="false">IF(M36="","No D&amp;B match",IF(L36="","Missing in CRM",IF(L36=M36,"Match","Mismatch")))</f>
        <v>No D&amp;B match</v>
      </c>
      <c r="X36" s="14" t="n">
        <f aca="false">COUNTIF(U36:W36,"&lt;&gt;Match")+IF(T36="past closed",1,0)</f>
        <v>3</v>
      </c>
      <c r="Y36" s="14" t="str">
        <f aca="false">IF(X36=0,"Clean","Review")</f>
        <v>Review</v>
      </c>
    </row>
    <row r="37" customFormat="false" ht="15" hidden="false" customHeight="false" outlineLevel="0" collapsed="false">
      <c r="A37" s="14" t="s">
        <v>487</v>
      </c>
      <c r="B37" s="14" t="s">
        <v>488</v>
      </c>
      <c r="C37" s="14" t="s">
        <v>67</v>
      </c>
      <c r="D37" s="14" t="s">
        <v>35</v>
      </c>
      <c r="E37" s="14" t="s">
        <v>489</v>
      </c>
      <c r="F37" s="14" t="s">
        <v>129</v>
      </c>
      <c r="G37" s="14" t="s">
        <v>490</v>
      </c>
      <c r="H37" s="14" t="s">
        <v>490</v>
      </c>
      <c r="I37" s="14" t="s">
        <v>387</v>
      </c>
      <c r="J37" s="14" t="n">
        <v>4841</v>
      </c>
      <c r="K37" s="14" t="n">
        <v>5511</v>
      </c>
      <c r="L37" s="14" t="n">
        <v>955006814</v>
      </c>
      <c r="M37" s="14" t="n">
        <v>821996995</v>
      </c>
      <c r="N37" s="14" t="s">
        <v>107</v>
      </c>
      <c r="O37" s="15" t="n">
        <v>45491</v>
      </c>
      <c r="P37" s="15" t="n">
        <v>45785</v>
      </c>
      <c r="Q37" s="14" t="s">
        <v>203</v>
      </c>
      <c r="R37" s="16" t="n">
        <v>47900</v>
      </c>
      <c r="S37" s="14" t="n">
        <f aca="false">IF(N37="Closed Won","",P37-ReportDate)</f>
        <v>-70</v>
      </c>
      <c r="T37" s="14" t="str">
        <f aca="false">IF(N37="Closed Won","closed",IF(S37&lt;0,"past closed",IF(S37&lt;=10,"update","on track")))</f>
        <v>past closed</v>
      </c>
      <c r="U37" s="14" t="str">
        <f aca="false">IF(H37="","No D&amp;B match",IF(TRIM(G37)=TRIM(H37),"Match","Mismatch"))</f>
        <v>Match</v>
      </c>
      <c r="V37" s="14" t="str">
        <f aca="false">IF(K37="","No D&amp;B match",IF(J37="","Missing in CRM",IF(J37=K37,"Match","Mismatch")))</f>
        <v>Mismatch</v>
      </c>
      <c r="W37" s="14" t="str">
        <f aca="false">IF(M37="","No D&amp;B match",IF(L37="","Missing in CRM",IF(L37=M37,"Match","Mismatch")))</f>
        <v>Mismatch</v>
      </c>
      <c r="X37" s="14" t="n">
        <f aca="false">COUNTIF(U37:W37,"&lt;&gt;Match")+IF(T37="past closed",1,0)</f>
        <v>3</v>
      </c>
      <c r="Y37" s="14" t="str">
        <f aca="false">IF(X37=0,"Clean","Review")</f>
        <v>Review</v>
      </c>
    </row>
    <row r="38" customFormat="false" ht="15" hidden="false" customHeight="false" outlineLevel="0" collapsed="false">
      <c r="A38" s="14" t="s">
        <v>491</v>
      </c>
      <c r="B38" s="14" t="s">
        <v>492</v>
      </c>
      <c r="C38" s="14" t="s">
        <v>122</v>
      </c>
      <c r="D38" s="14" t="s">
        <v>32</v>
      </c>
      <c r="E38" s="14" t="s">
        <v>493</v>
      </c>
      <c r="F38" s="14" t="s">
        <v>379</v>
      </c>
      <c r="G38" s="14" t="s">
        <v>494</v>
      </c>
      <c r="H38" s="14" t="s">
        <v>495</v>
      </c>
      <c r="I38" s="14" t="s">
        <v>375</v>
      </c>
      <c r="J38" s="14" t="n">
        <v>4841</v>
      </c>
      <c r="K38" s="14" t="n">
        <v>4841</v>
      </c>
      <c r="L38" s="14" t="n">
        <v>558423989</v>
      </c>
      <c r="M38" s="14" t="n">
        <v>558423989</v>
      </c>
      <c r="N38" s="14" t="s">
        <v>107</v>
      </c>
      <c r="O38" s="15" t="n">
        <v>45354</v>
      </c>
      <c r="P38" s="15" t="n">
        <v>45618</v>
      </c>
      <c r="Q38" s="14" t="s">
        <v>92</v>
      </c>
      <c r="R38" s="16" t="n">
        <v>37600</v>
      </c>
      <c r="S38" s="14" t="n">
        <f aca="false">IF(N38="Closed Won","",P38-ReportDate)</f>
        <v>-237</v>
      </c>
      <c r="T38" s="14" t="str">
        <f aca="false">IF(N38="Closed Won","closed",IF(S38&lt;0,"past closed",IF(S38&lt;=10,"update","on track")))</f>
        <v>past closed</v>
      </c>
      <c r="U38" s="14" t="str">
        <f aca="false">IF(H38="","No D&amp;B match",IF(TRIM(G38)=TRIM(H38),"Match","Mismatch"))</f>
        <v>Mismatch</v>
      </c>
      <c r="V38" s="14" t="str">
        <f aca="false">IF(K38="","No D&amp;B match",IF(J38="","Missing in CRM",IF(J38=K38,"Match","Mismatch")))</f>
        <v>Match</v>
      </c>
      <c r="W38" s="14" t="str">
        <f aca="false">IF(M38="","No D&amp;B match",IF(L38="","Missing in CRM",IF(L38=M38,"Match","Mismatch")))</f>
        <v>Match</v>
      </c>
      <c r="X38" s="14" t="n">
        <f aca="false">COUNTIF(U38:W38,"&lt;&gt;Match")+IF(T38="past closed",1,0)</f>
        <v>2</v>
      </c>
      <c r="Y38" s="14" t="str">
        <f aca="false">IF(X38=0,"Clean","Review")</f>
        <v>Review</v>
      </c>
    </row>
    <row r="39" customFormat="false" ht="15" hidden="false" customHeight="false" outlineLevel="0" collapsed="false">
      <c r="A39" s="14" t="s">
        <v>496</v>
      </c>
      <c r="B39" s="14" t="s">
        <v>497</v>
      </c>
      <c r="C39" s="14" t="s">
        <v>122</v>
      </c>
      <c r="D39" s="14" t="s">
        <v>32</v>
      </c>
      <c r="E39" s="14" t="s">
        <v>498</v>
      </c>
      <c r="F39" s="14" t="s">
        <v>157</v>
      </c>
      <c r="G39" s="14" t="s">
        <v>499</v>
      </c>
      <c r="H39" s="14"/>
      <c r="I39" s="14" t="s">
        <v>375</v>
      </c>
      <c r="J39" s="14"/>
      <c r="K39" s="14"/>
      <c r="L39" s="14"/>
      <c r="M39" s="14"/>
      <c r="N39" s="14" t="s">
        <v>99</v>
      </c>
      <c r="O39" s="15" t="n">
        <v>45622</v>
      </c>
      <c r="P39" s="15" t="n">
        <v>45768</v>
      </c>
      <c r="Q39" s="14" t="s">
        <v>203</v>
      </c>
      <c r="R39" s="16" t="n">
        <v>22800</v>
      </c>
      <c r="S39" s="14" t="str">
        <f aca="false">IF(N39="Closed Won","",P39-ReportDate)</f>
        <v/>
      </c>
      <c r="T39" s="14" t="str">
        <f aca="false">IF(N39="Closed Won","closed",IF(S39&lt;0,"past closed",IF(S39&lt;=10,"update","on track")))</f>
        <v>closed</v>
      </c>
      <c r="U39" s="14" t="str">
        <f aca="false">IF(H39="","No D&amp;B match",IF(TRIM(G39)=TRIM(H39),"Match","Mismatch"))</f>
        <v>No D&amp;B match</v>
      </c>
      <c r="V39" s="14" t="str">
        <f aca="false">IF(K39="","No D&amp;B match",IF(J39="","Missing in CRM",IF(J39=K39,"Match","Mismatch")))</f>
        <v>No D&amp;B match</v>
      </c>
      <c r="W39" s="14" t="str">
        <f aca="false">IF(M39="","No D&amp;B match",IF(L39="","Missing in CRM",IF(L39=M39,"Match","Mismatch")))</f>
        <v>No D&amp;B match</v>
      </c>
      <c r="X39" s="14" t="n">
        <f aca="false">COUNTIF(U39:W39,"&lt;&gt;Match")+IF(T39="past closed",1,0)</f>
        <v>3</v>
      </c>
      <c r="Y39" s="14" t="str">
        <f aca="false">IF(X39=0,"Clean","Review")</f>
        <v>Review</v>
      </c>
    </row>
    <row r="40" customFormat="false" ht="15" hidden="false" customHeight="false" outlineLevel="0" collapsed="false">
      <c r="A40" s="14" t="s">
        <v>500</v>
      </c>
      <c r="B40" s="14" t="s">
        <v>501</v>
      </c>
      <c r="C40" s="14" t="s">
        <v>161</v>
      </c>
      <c r="D40" s="14" t="s">
        <v>35</v>
      </c>
      <c r="E40" s="14" t="s">
        <v>502</v>
      </c>
      <c r="F40" s="14" t="s">
        <v>503</v>
      </c>
      <c r="G40" s="14" t="s">
        <v>504</v>
      </c>
      <c r="H40" s="14" t="s">
        <v>505</v>
      </c>
      <c r="I40" s="14" t="s">
        <v>387</v>
      </c>
      <c r="J40" s="14" t="n">
        <v>5511</v>
      </c>
      <c r="K40" s="14" t="n">
        <v>5511</v>
      </c>
      <c r="L40" s="14" t="n">
        <v>494163911</v>
      </c>
      <c r="M40" s="14" t="n">
        <v>494163911</v>
      </c>
      <c r="N40" s="14" t="s">
        <v>107</v>
      </c>
      <c r="O40" s="15" t="n">
        <v>45595</v>
      </c>
      <c r="P40" s="15" t="n">
        <v>45721</v>
      </c>
      <c r="Q40" s="14" t="s">
        <v>85</v>
      </c>
      <c r="R40" s="16" t="n">
        <v>53400</v>
      </c>
      <c r="S40" s="14" t="n">
        <f aca="false">IF(N40="Closed Won","",P40-ReportDate)</f>
        <v>-134</v>
      </c>
      <c r="T40" s="14" t="str">
        <f aca="false">IF(N40="Closed Won","closed",IF(S40&lt;0,"past closed",IF(S40&lt;=10,"update","on track")))</f>
        <v>past closed</v>
      </c>
      <c r="U40" s="14" t="str">
        <f aca="false">IF(H40="","No D&amp;B match",IF(TRIM(G40)=TRIM(H40),"Match","Mismatch"))</f>
        <v>Mismatch</v>
      </c>
      <c r="V40" s="14" t="str">
        <f aca="false">IF(K40="","No D&amp;B match",IF(J40="","Missing in CRM",IF(J40=K40,"Match","Mismatch")))</f>
        <v>Match</v>
      </c>
      <c r="W40" s="14" t="str">
        <f aca="false">IF(M40="","No D&amp;B match",IF(L40="","Missing in CRM",IF(L40=M40,"Match","Mismatch")))</f>
        <v>Match</v>
      </c>
      <c r="X40" s="14" t="n">
        <f aca="false">COUNTIF(U40:W40,"&lt;&gt;Match")+IF(T40="past closed",1,0)</f>
        <v>2</v>
      </c>
      <c r="Y40" s="14" t="str">
        <f aca="false">IF(X40=0,"Clean","Review")</f>
        <v>Review</v>
      </c>
    </row>
    <row r="41" customFormat="false" ht="15" hidden="false" customHeight="false" outlineLevel="0" collapsed="false">
      <c r="A41" s="14" t="s">
        <v>506</v>
      </c>
      <c r="B41" s="14" t="s">
        <v>507</v>
      </c>
      <c r="C41" s="14" t="s">
        <v>75</v>
      </c>
      <c r="D41" s="14" t="s">
        <v>32</v>
      </c>
      <c r="E41" s="14" t="s">
        <v>508</v>
      </c>
      <c r="F41" s="14" t="s">
        <v>344</v>
      </c>
      <c r="G41" s="14" t="s">
        <v>509</v>
      </c>
      <c r="H41" s="14" t="s">
        <v>509</v>
      </c>
      <c r="I41" s="14" t="s">
        <v>468</v>
      </c>
      <c r="J41" s="14" t="n">
        <v>8062</v>
      </c>
      <c r="K41" s="14" t="n">
        <v>8062</v>
      </c>
      <c r="L41" s="14" t="n">
        <v>570600796</v>
      </c>
      <c r="M41" s="14" t="n">
        <v>570600796</v>
      </c>
      <c r="N41" s="14" t="s">
        <v>107</v>
      </c>
      <c r="O41" s="15" t="n">
        <v>45660</v>
      </c>
      <c r="P41" s="15" t="n">
        <v>45942</v>
      </c>
      <c r="Q41" s="14" t="s">
        <v>72</v>
      </c>
      <c r="R41" s="16" t="n">
        <v>72800</v>
      </c>
      <c r="S41" s="14" t="n">
        <f aca="false">IF(N41="Closed Won","",P41-ReportDate)</f>
        <v>87</v>
      </c>
      <c r="T41" s="14" t="str">
        <f aca="false">IF(N41="Closed Won","closed",IF(S41&lt;0,"past closed",IF(S41&lt;=10,"update","on track")))</f>
        <v>on track</v>
      </c>
      <c r="U41" s="14" t="str">
        <f aca="false">IF(H41="","No D&amp;B match",IF(TRIM(G41)=TRIM(H41),"Match","Mismatch"))</f>
        <v>Match</v>
      </c>
      <c r="V41" s="14" t="str">
        <f aca="false">IF(K41="","No D&amp;B match",IF(J41="","Missing in CRM",IF(J41=K41,"Match","Mismatch")))</f>
        <v>Match</v>
      </c>
      <c r="W41" s="14" t="str">
        <f aca="false">IF(M41="","No D&amp;B match",IF(L41="","Missing in CRM",IF(L41=M41,"Match","Mismatch")))</f>
        <v>Match</v>
      </c>
      <c r="X41" s="14" t="n">
        <f aca="false">COUNTIF(U41:W41,"&lt;&gt;Match")+IF(T41="past closed",1,0)</f>
        <v>0</v>
      </c>
      <c r="Y41" s="14" t="str">
        <f aca="false">IF(X41=0,"Clean","Review")</f>
        <v>Clean</v>
      </c>
    </row>
    <row r="42" customFormat="false" ht="15" hidden="false" customHeight="false" outlineLevel="0" collapsed="false">
      <c r="A42" s="14" t="s">
        <v>328</v>
      </c>
      <c r="B42" s="14" t="s">
        <v>329</v>
      </c>
      <c r="C42" s="14" t="s">
        <v>330</v>
      </c>
      <c r="D42" s="14" t="s">
        <v>33</v>
      </c>
      <c r="E42" s="14" t="s">
        <v>331</v>
      </c>
      <c r="F42" s="14" t="s">
        <v>305</v>
      </c>
      <c r="G42" s="14" t="s">
        <v>332</v>
      </c>
      <c r="H42" s="14" t="s">
        <v>510</v>
      </c>
      <c r="I42" s="14" t="s">
        <v>419</v>
      </c>
      <c r="J42" s="14" t="n">
        <v>5999</v>
      </c>
      <c r="K42" s="14" t="n">
        <v>5999</v>
      </c>
      <c r="L42" s="14" t="n">
        <v>541922492</v>
      </c>
      <c r="M42" s="14" t="n">
        <v>541922492</v>
      </c>
      <c r="N42" s="14" t="s">
        <v>63</v>
      </c>
      <c r="O42" s="15" t="n">
        <v>45629</v>
      </c>
      <c r="P42" s="15" t="n">
        <v>45855</v>
      </c>
      <c r="Q42" s="14" t="s">
        <v>113</v>
      </c>
      <c r="R42" s="16" t="n">
        <v>124500</v>
      </c>
      <c r="S42" s="14" t="n">
        <f aca="false">IF(N42="Closed Won","",P42-ReportDate)</f>
        <v>0</v>
      </c>
      <c r="T42" s="14" t="str">
        <f aca="false">IF(N42="Closed Won","closed",IF(S42&lt;0,"past closed",IF(S42&lt;=10,"update","on track")))</f>
        <v>update</v>
      </c>
      <c r="U42" s="14" t="str">
        <f aca="false">IF(H42="","No D&amp;B match",IF(TRIM(G42)=TRIM(H42),"Match","Mismatch"))</f>
        <v>Mismatch</v>
      </c>
      <c r="V42" s="14" t="str">
        <f aca="false">IF(K42="","No D&amp;B match",IF(J42="","Missing in CRM",IF(J42=K42,"Match","Mismatch")))</f>
        <v>Match</v>
      </c>
      <c r="W42" s="14" t="str">
        <f aca="false">IF(M42="","No D&amp;B match",IF(L42="","Missing in CRM",IF(L42=M42,"Match","Mismatch")))</f>
        <v>Match</v>
      </c>
      <c r="X42" s="14" t="n">
        <f aca="false">COUNTIF(U42:W42,"&lt;&gt;Match")+IF(T42="past closed",1,0)</f>
        <v>1</v>
      </c>
      <c r="Y42" s="14" t="str">
        <f aca="false">IF(X42=0,"Clean","Review")</f>
        <v>Review</v>
      </c>
    </row>
    <row r="43" customFormat="false" ht="15" hidden="false" customHeight="false" outlineLevel="0" collapsed="false">
      <c r="A43" s="14" t="s">
        <v>511</v>
      </c>
      <c r="B43" s="14" t="s">
        <v>512</v>
      </c>
      <c r="C43" s="14" t="s">
        <v>103</v>
      </c>
      <c r="D43" s="14" t="s">
        <v>32</v>
      </c>
      <c r="E43" s="14" t="s">
        <v>513</v>
      </c>
      <c r="F43" s="14" t="s">
        <v>105</v>
      </c>
      <c r="G43" s="14" t="s">
        <v>514</v>
      </c>
      <c r="H43" s="14" t="s">
        <v>514</v>
      </c>
      <c r="I43" s="14" t="s">
        <v>382</v>
      </c>
      <c r="J43" s="14" t="n">
        <v>6022</v>
      </c>
      <c r="K43" s="14" t="n">
        <v>6022</v>
      </c>
      <c r="L43" s="14" t="n">
        <v>341925478</v>
      </c>
      <c r="M43" s="14" t="n">
        <v>341925478</v>
      </c>
      <c r="N43" s="14" t="s">
        <v>63</v>
      </c>
      <c r="O43" s="15" t="n">
        <v>45321</v>
      </c>
      <c r="P43" s="15" t="n">
        <v>45438</v>
      </c>
      <c r="Q43" s="14" t="s">
        <v>64</v>
      </c>
      <c r="R43" s="16" t="n">
        <v>168500</v>
      </c>
      <c r="S43" s="14" t="n">
        <f aca="false">IF(N43="Closed Won","",P43-ReportDate)</f>
        <v>-417</v>
      </c>
      <c r="T43" s="14" t="str">
        <f aca="false">IF(N43="Closed Won","closed",IF(S43&lt;0,"past closed",IF(S43&lt;=10,"update","on track")))</f>
        <v>past closed</v>
      </c>
      <c r="U43" s="14" t="str">
        <f aca="false">IF(H43="","No D&amp;B match",IF(TRIM(G43)=TRIM(H43),"Match","Mismatch"))</f>
        <v>Match</v>
      </c>
      <c r="V43" s="14" t="str">
        <f aca="false">IF(K43="","No D&amp;B match",IF(J43="","Missing in CRM",IF(J43=K43,"Match","Mismatch")))</f>
        <v>Match</v>
      </c>
      <c r="W43" s="14" t="str">
        <f aca="false">IF(M43="","No D&amp;B match",IF(L43="","Missing in CRM",IF(L43=M43,"Match","Mismatch")))</f>
        <v>Match</v>
      </c>
      <c r="X43" s="14" t="n">
        <f aca="false">COUNTIF(U43:W43,"&lt;&gt;Match")+IF(T43="past closed",1,0)</f>
        <v>1</v>
      </c>
      <c r="Y43" s="14" t="str">
        <f aca="false">IF(X43=0,"Clean","Review")</f>
        <v>Review</v>
      </c>
    </row>
    <row r="44" customFormat="false" ht="15" hidden="false" customHeight="false" outlineLevel="0" collapsed="false">
      <c r="A44" s="14" t="s">
        <v>515</v>
      </c>
      <c r="B44" s="14" t="s">
        <v>516</v>
      </c>
      <c r="C44" s="14" t="s">
        <v>122</v>
      </c>
      <c r="D44" s="14" t="s">
        <v>32</v>
      </c>
      <c r="E44" s="14" t="s">
        <v>517</v>
      </c>
      <c r="F44" s="14" t="s">
        <v>344</v>
      </c>
      <c r="G44" s="14" t="s">
        <v>518</v>
      </c>
      <c r="H44" s="14" t="s">
        <v>518</v>
      </c>
      <c r="I44" s="14" t="s">
        <v>406</v>
      </c>
      <c r="J44" s="14" t="n">
        <v>5961</v>
      </c>
      <c r="K44" s="14" t="n">
        <v>5961</v>
      </c>
      <c r="L44" s="14" t="n">
        <v>314744624</v>
      </c>
      <c r="M44" s="14" t="n">
        <v>314744624</v>
      </c>
      <c r="N44" s="14" t="s">
        <v>63</v>
      </c>
      <c r="O44" s="15" t="n">
        <v>45417</v>
      </c>
      <c r="P44" s="15" t="n">
        <v>45542</v>
      </c>
      <c r="Q44" s="14" t="s">
        <v>100</v>
      </c>
      <c r="R44" s="16" t="n">
        <v>227200</v>
      </c>
      <c r="S44" s="14" t="n">
        <f aca="false">IF(N44="Closed Won","",P44-ReportDate)</f>
        <v>-313</v>
      </c>
      <c r="T44" s="14" t="str">
        <f aca="false">IF(N44="Closed Won","closed",IF(S44&lt;0,"past closed",IF(S44&lt;=10,"update","on track")))</f>
        <v>past closed</v>
      </c>
      <c r="U44" s="14" t="str">
        <f aca="false">IF(H44="","No D&amp;B match",IF(TRIM(G44)=TRIM(H44),"Match","Mismatch"))</f>
        <v>Match</v>
      </c>
      <c r="V44" s="14" t="str">
        <f aca="false">IF(K44="","No D&amp;B match",IF(J44="","Missing in CRM",IF(J44=K44,"Match","Mismatch")))</f>
        <v>Match</v>
      </c>
      <c r="W44" s="14" t="str">
        <f aca="false">IF(M44="","No D&amp;B match",IF(L44="","Missing in CRM",IF(L44=M44,"Match","Mismatch")))</f>
        <v>Match</v>
      </c>
      <c r="X44" s="14" t="n">
        <f aca="false">COUNTIF(U44:W44,"&lt;&gt;Match")+IF(T44="past closed",1,0)</f>
        <v>1</v>
      </c>
      <c r="Y44" s="14" t="str">
        <f aca="false">IF(X44=0,"Clean","Review")</f>
        <v>Review</v>
      </c>
    </row>
    <row r="45" customFormat="false" ht="15" hidden="false" customHeight="false" outlineLevel="0" collapsed="false">
      <c r="A45" s="14" t="s">
        <v>519</v>
      </c>
      <c r="B45" s="14" t="s">
        <v>520</v>
      </c>
      <c r="C45" s="14" t="s">
        <v>122</v>
      </c>
      <c r="D45" s="14" t="s">
        <v>32</v>
      </c>
      <c r="E45" s="14" t="s">
        <v>521</v>
      </c>
      <c r="F45" s="14" t="s">
        <v>182</v>
      </c>
      <c r="G45" s="14" t="s">
        <v>522</v>
      </c>
      <c r="H45" s="14" t="s">
        <v>522</v>
      </c>
      <c r="I45" s="14" t="s">
        <v>406</v>
      </c>
      <c r="J45" s="14" t="n">
        <v>5961</v>
      </c>
      <c r="K45" s="14" t="n">
        <v>5961</v>
      </c>
      <c r="L45" s="14" t="n">
        <v>311179083</v>
      </c>
      <c r="M45" s="14" t="n">
        <v>311179083</v>
      </c>
      <c r="N45" s="14" t="s">
        <v>63</v>
      </c>
      <c r="O45" s="15" t="n">
        <v>45772</v>
      </c>
      <c r="P45" s="15" t="n">
        <v>45978</v>
      </c>
      <c r="Q45" s="14" t="s">
        <v>72</v>
      </c>
      <c r="R45" s="16" t="n">
        <v>302800</v>
      </c>
      <c r="S45" s="14" t="n">
        <f aca="false">IF(N45="Closed Won","",P45-ReportDate)</f>
        <v>123</v>
      </c>
      <c r="T45" s="14" t="str">
        <f aca="false">IF(N45="Closed Won","closed",IF(S45&lt;0,"past closed",IF(S45&lt;=10,"update","on track")))</f>
        <v>on track</v>
      </c>
      <c r="U45" s="14" t="str">
        <f aca="false">IF(H45="","No D&amp;B match",IF(TRIM(G45)=TRIM(H45),"Match","Mismatch"))</f>
        <v>Match</v>
      </c>
      <c r="V45" s="14" t="str">
        <f aca="false">IF(K45="","No D&amp;B match",IF(J45="","Missing in CRM",IF(J45=K45,"Match","Mismatch")))</f>
        <v>Match</v>
      </c>
      <c r="W45" s="14" t="str">
        <f aca="false">IF(M45="","No D&amp;B match",IF(L45="","Missing in CRM",IF(L45=M45,"Match","Mismatch")))</f>
        <v>Match</v>
      </c>
      <c r="X45" s="14" t="n">
        <f aca="false">COUNTIF(U45:W45,"&lt;&gt;Match")+IF(T45="past closed",1,0)</f>
        <v>0</v>
      </c>
      <c r="Y45" s="14" t="str">
        <f aca="false">IF(X45=0,"Clean","Review")</f>
        <v>Clean</v>
      </c>
    </row>
    <row r="46" customFormat="false" ht="15" hidden="false" customHeight="false" outlineLevel="0" collapsed="false">
      <c r="A46" s="14" t="s">
        <v>523</v>
      </c>
      <c r="B46" s="14" t="s">
        <v>524</v>
      </c>
      <c r="C46" s="14" t="s">
        <v>150</v>
      </c>
      <c r="D46" s="14" t="s">
        <v>36</v>
      </c>
      <c r="E46" s="14" t="s">
        <v>525</v>
      </c>
      <c r="F46" s="14" t="s">
        <v>152</v>
      </c>
      <c r="G46" s="14" t="s">
        <v>526</v>
      </c>
      <c r="H46" s="14" t="s">
        <v>526</v>
      </c>
      <c r="I46" s="14" t="s">
        <v>381</v>
      </c>
      <c r="J46" s="14" t="n">
        <v>5122</v>
      </c>
      <c r="K46" s="14" t="n">
        <v>5122</v>
      </c>
      <c r="L46" s="14" t="n">
        <v>829445937</v>
      </c>
      <c r="M46" s="14" t="n">
        <v>829445937</v>
      </c>
      <c r="N46" s="14" t="s">
        <v>107</v>
      </c>
      <c r="O46" s="15" t="n">
        <v>45478</v>
      </c>
      <c r="P46" s="15" t="n">
        <v>45615</v>
      </c>
      <c r="Q46" s="14" t="s">
        <v>92</v>
      </c>
      <c r="R46" s="16" t="n">
        <v>249300</v>
      </c>
      <c r="S46" s="14" t="n">
        <f aca="false">IF(N46="Closed Won","",P46-ReportDate)</f>
        <v>-240</v>
      </c>
      <c r="T46" s="14" t="str">
        <f aca="false">IF(N46="Closed Won","closed",IF(S46&lt;0,"past closed",IF(S46&lt;=10,"update","on track")))</f>
        <v>past closed</v>
      </c>
      <c r="U46" s="14" t="str">
        <f aca="false">IF(H46="","No D&amp;B match",IF(TRIM(G46)=TRIM(H46),"Match","Mismatch"))</f>
        <v>Match</v>
      </c>
      <c r="V46" s="14" t="str">
        <f aca="false">IF(K46="","No D&amp;B match",IF(J46="","Missing in CRM",IF(J46=K46,"Match","Mismatch")))</f>
        <v>Match</v>
      </c>
      <c r="W46" s="14" t="str">
        <f aca="false">IF(M46="","No D&amp;B match",IF(L46="","Missing in CRM",IF(L46=M46,"Match","Mismatch")))</f>
        <v>Match</v>
      </c>
      <c r="X46" s="14" t="n">
        <f aca="false">COUNTIF(U46:W46,"&lt;&gt;Match")+IF(T46="past closed",1,0)</f>
        <v>1</v>
      </c>
      <c r="Y46" s="14" t="str">
        <f aca="false">IF(X46=0,"Clean","Review")</f>
        <v>Review</v>
      </c>
    </row>
    <row r="47" customFormat="false" ht="15" hidden="false" customHeight="false" outlineLevel="0" collapsed="false">
      <c r="A47" s="14" t="s">
        <v>527</v>
      </c>
      <c r="B47" s="14" t="s">
        <v>528</v>
      </c>
      <c r="C47" s="14" t="s">
        <v>88</v>
      </c>
      <c r="D47" s="14" t="s">
        <v>36</v>
      </c>
      <c r="E47" s="14" t="s">
        <v>529</v>
      </c>
      <c r="F47" s="14" t="s">
        <v>90</v>
      </c>
      <c r="G47" s="14" t="s">
        <v>530</v>
      </c>
      <c r="H47" s="14"/>
      <c r="I47" s="14" t="s">
        <v>419</v>
      </c>
      <c r="J47" s="14"/>
      <c r="K47" s="14"/>
      <c r="L47" s="14"/>
      <c r="M47" s="14"/>
      <c r="N47" s="14" t="s">
        <v>107</v>
      </c>
      <c r="O47" s="15" t="n">
        <v>45615</v>
      </c>
      <c r="P47" s="15" t="n">
        <v>45710</v>
      </c>
      <c r="Q47" s="14" t="s">
        <v>85</v>
      </c>
      <c r="R47" s="16" t="n">
        <v>136700</v>
      </c>
      <c r="S47" s="14" t="n">
        <f aca="false">IF(N47="Closed Won","",P47-ReportDate)</f>
        <v>-145</v>
      </c>
      <c r="T47" s="14" t="str">
        <f aca="false">IF(N47="Closed Won","closed",IF(S47&lt;0,"past closed",IF(S47&lt;=10,"update","on track")))</f>
        <v>past closed</v>
      </c>
      <c r="U47" s="14" t="str">
        <f aca="false">IF(H47="","No D&amp;B match",IF(TRIM(G47)=TRIM(H47),"Match","Mismatch"))</f>
        <v>No D&amp;B match</v>
      </c>
      <c r="V47" s="14" t="str">
        <f aca="false">IF(K47="","No D&amp;B match",IF(J47="","Missing in CRM",IF(J47=K47,"Match","Mismatch")))</f>
        <v>No D&amp;B match</v>
      </c>
      <c r="W47" s="14" t="str">
        <f aca="false">IF(M47="","No D&amp;B match",IF(L47="","Missing in CRM",IF(L47=M47,"Match","Mismatch")))</f>
        <v>No D&amp;B match</v>
      </c>
      <c r="X47" s="14" t="n">
        <f aca="false">COUNTIF(U47:W47,"&lt;&gt;Match")+IF(T47="past closed",1,0)</f>
        <v>4</v>
      </c>
      <c r="Y47" s="14" t="str">
        <f aca="false">IF(X47=0,"Clean","Review")</f>
        <v>Review</v>
      </c>
    </row>
    <row r="48" customFormat="false" ht="15" hidden="false" customHeight="false" outlineLevel="0" collapsed="false">
      <c r="A48" s="14" t="s">
        <v>302</v>
      </c>
      <c r="B48" s="14" t="s">
        <v>531</v>
      </c>
      <c r="C48" s="14" t="s">
        <v>138</v>
      </c>
      <c r="D48" s="14" t="s">
        <v>33</v>
      </c>
      <c r="E48" s="14" t="s">
        <v>532</v>
      </c>
      <c r="F48" s="14" t="s">
        <v>305</v>
      </c>
      <c r="G48" s="14" t="s">
        <v>306</v>
      </c>
      <c r="H48" s="14" t="s">
        <v>306</v>
      </c>
      <c r="I48" s="14" t="s">
        <v>382</v>
      </c>
      <c r="J48" s="14" t="n">
        <v>6022</v>
      </c>
      <c r="K48" s="14" t="n">
        <v>6022</v>
      </c>
      <c r="L48" s="14" t="n">
        <v>431589562</v>
      </c>
      <c r="M48" s="14" t="n">
        <v>431589562</v>
      </c>
      <c r="N48" s="14" t="s">
        <v>107</v>
      </c>
      <c r="O48" s="15" t="n">
        <v>45801</v>
      </c>
      <c r="P48" s="15" t="n">
        <v>45981</v>
      </c>
      <c r="Q48" s="14" t="s">
        <v>72</v>
      </c>
      <c r="R48" s="16" t="n">
        <v>160400</v>
      </c>
      <c r="S48" s="14" t="n">
        <f aca="false">IF(N48="Closed Won","",P48-ReportDate)</f>
        <v>126</v>
      </c>
      <c r="T48" s="14" t="str">
        <f aca="false">IF(N48="Closed Won","closed",IF(S48&lt;0,"past closed",IF(S48&lt;=10,"update","on track")))</f>
        <v>on track</v>
      </c>
      <c r="U48" s="14" t="str">
        <f aca="false">IF(H48="","No D&amp;B match",IF(TRIM(G48)=TRIM(H48),"Match","Mismatch"))</f>
        <v>Match</v>
      </c>
      <c r="V48" s="14" t="str">
        <f aca="false">IF(K48="","No D&amp;B match",IF(J48="","Missing in CRM",IF(J48=K48,"Match","Mismatch")))</f>
        <v>Match</v>
      </c>
      <c r="W48" s="14" t="str">
        <f aca="false">IF(M48="","No D&amp;B match",IF(L48="","Missing in CRM",IF(L48=M48,"Match","Mismatch")))</f>
        <v>Match</v>
      </c>
      <c r="X48" s="14" t="n">
        <f aca="false">COUNTIF(U48:W48,"&lt;&gt;Match")+IF(T48="past closed",1,0)</f>
        <v>0</v>
      </c>
      <c r="Y48" s="14" t="str">
        <f aca="false">IF(X48=0,"Clean","Review")</f>
        <v>Clean</v>
      </c>
    </row>
    <row r="49" customFormat="false" ht="15" hidden="false" customHeight="false" outlineLevel="0" collapsed="false">
      <c r="A49" s="14" t="s">
        <v>280</v>
      </c>
      <c r="B49" s="14" t="s">
        <v>281</v>
      </c>
      <c r="C49" s="14" t="s">
        <v>95</v>
      </c>
      <c r="D49" s="14" t="s">
        <v>34</v>
      </c>
      <c r="E49" s="14" t="s">
        <v>282</v>
      </c>
      <c r="F49" s="14" t="s">
        <v>193</v>
      </c>
      <c r="G49" s="14" t="s">
        <v>283</v>
      </c>
      <c r="H49" s="14" t="s">
        <v>283</v>
      </c>
      <c r="I49" s="14" t="s">
        <v>381</v>
      </c>
      <c r="J49" s="14" t="n">
        <v>5122</v>
      </c>
      <c r="K49" s="14" t="n">
        <v>5122</v>
      </c>
      <c r="L49" s="14" t="n">
        <v>429237953</v>
      </c>
      <c r="M49" s="14" t="n">
        <v>429237953</v>
      </c>
      <c r="N49" s="14" t="s">
        <v>99</v>
      </c>
      <c r="O49" s="15" t="n">
        <v>45479</v>
      </c>
      <c r="P49" s="15" t="n">
        <v>45557</v>
      </c>
      <c r="Q49" s="14" t="s">
        <v>100</v>
      </c>
      <c r="R49" s="16" t="n">
        <v>26200</v>
      </c>
      <c r="S49" s="14" t="str">
        <f aca="false">IF(N49="Closed Won","",P49-ReportDate)</f>
        <v/>
      </c>
      <c r="T49" s="14" t="str">
        <f aca="false">IF(N49="Closed Won","closed",IF(S49&lt;0,"past closed",IF(S49&lt;=10,"update","on track")))</f>
        <v>closed</v>
      </c>
      <c r="U49" s="14" t="str">
        <f aca="false">IF(H49="","No D&amp;B match",IF(TRIM(G49)=TRIM(H49),"Match","Mismatch"))</f>
        <v>Match</v>
      </c>
      <c r="V49" s="14" t="str">
        <f aca="false">IF(K49="","No D&amp;B match",IF(J49="","Missing in CRM",IF(J49=K49,"Match","Mismatch")))</f>
        <v>Match</v>
      </c>
      <c r="W49" s="14" t="str">
        <f aca="false">IF(M49="","No D&amp;B match",IF(L49="","Missing in CRM",IF(L49=M49,"Match","Mismatch")))</f>
        <v>Match</v>
      </c>
      <c r="X49" s="14" t="n">
        <f aca="false">COUNTIF(U49:W49,"&lt;&gt;Match")+IF(T49="past closed",1,0)</f>
        <v>0</v>
      </c>
      <c r="Y49" s="14" t="str">
        <f aca="false">IF(X49=0,"Clean","Review")</f>
        <v>Clean</v>
      </c>
    </row>
    <row r="50" customFormat="false" ht="15" hidden="false" customHeight="false" outlineLevel="0" collapsed="false">
      <c r="A50" s="14" t="s">
        <v>533</v>
      </c>
      <c r="B50" s="14" t="s">
        <v>534</v>
      </c>
      <c r="C50" s="14" t="s">
        <v>483</v>
      </c>
      <c r="D50" s="14" t="s">
        <v>34</v>
      </c>
      <c r="E50" s="14" t="s">
        <v>535</v>
      </c>
      <c r="F50" s="14" t="s">
        <v>187</v>
      </c>
      <c r="G50" s="14" t="s">
        <v>536</v>
      </c>
      <c r="H50" s="14" t="s">
        <v>536</v>
      </c>
      <c r="I50" s="14" t="s">
        <v>396</v>
      </c>
      <c r="J50" s="14" t="n">
        <v>7011</v>
      </c>
      <c r="K50" s="14" t="n">
        <v>7011</v>
      </c>
      <c r="L50" s="14" t="n">
        <v>159598799</v>
      </c>
      <c r="M50" s="14" t="n">
        <v>159598799</v>
      </c>
      <c r="N50" s="14" t="s">
        <v>178</v>
      </c>
      <c r="O50" s="15" t="n">
        <v>45463</v>
      </c>
      <c r="P50" s="15" t="n">
        <v>45547</v>
      </c>
      <c r="Q50" s="14" t="s">
        <v>100</v>
      </c>
      <c r="R50" s="16" t="n">
        <v>71200</v>
      </c>
      <c r="S50" s="14" t="n">
        <f aca="false">IF(N50="Closed Won","",P50-ReportDate)</f>
        <v>-308</v>
      </c>
      <c r="T50" s="14" t="str">
        <f aca="false">IF(N50="Closed Won","closed",IF(S50&lt;0,"past closed",IF(S50&lt;=10,"update","on track")))</f>
        <v>past closed</v>
      </c>
      <c r="U50" s="14" t="str">
        <f aca="false">IF(H50="","No D&amp;B match",IF(TRIM(G50)=TRIM(H50),"Match","Mismatch"))</f>
        <v>Match</v>
      </c>
      <c r="V50" s="14" t="str">
        <f aca="false">IF(K50="","No D&amp;B match",IF(J50="","Missing in CRM",IF(J50=K50,"Match","Mismatch")))</f>
        <v>Match</v>
      </c>
      <c r="W50" s="14" t="str">
        <f aca="false">IF(M50="","No D&amp;B match",IF(L50="","Missing in CRM",IF(L50=M50,"Match","Mismatch")))</f>
        <v>Match</v>
      </c>
      <c r="X50" s="14" t="n">
        <f aca="false">COUNTIF(U50:W50,"&lt;&gt;Match")+IF(T50="past closed",1,0)</f>
        <v>1</v>
      </c>
      <c r="Y50" s="14" t="str">
        <f aca="false">IF(X50=0,"Clean","Review")</f>
        <v>Review</v>
      </c>
    </row>
    <row r="51" customFormat="false" ht="15" hidden="false" customHeight="false" outlineLevel="0" collapsed="false">
      <c r="A51" s="14" t="s">
        <v>174</v>
      </c>
      <c r="B51" s="14" t="s">
        <v>175</v>
      </c>
      <c r="C51" s="14" t="s">
        <v>116</v>
      </c>
      <c r="D51" s="14" t="s">
        <v>33</v>
      </c>
      <c r="E51" s="14" t="s">
        <v>176</v>
      </c>
      <c r="F51" s="14" t="s">
        <v>140</v>
      </c>
      <c r="G51" s="14" t="s">
        <v>177</v>
      </c>
      <c r="H51" s="14" t="s">
        <v>537</v>
      </c>
      <c r="I51" s="14" t="s">
        <v>382</v>
      </c>
      <c r="J51" s="14" t="n">
        <v>6022</v>
      </c>
      <c r="K51" s="14" t="n">
        <v>6022</v>
      </c>
      <c r="L51" s="14" t="n">
        <v>787486867</v>
      </c>
      <c r="M51" s="14" t="n">
        <v>787486867</v>
      </c>
      <c r="N51" s="14" t="s">
        <v>178</v>
      </c>
      <c r="O51" s="15" t="n">
        <v>45656</v>
      </c>
      <c r="P51" s="15" t="n">
        <v>45922</v>
      </c>
      <c r="Q51" s="14" t="s">
        <v>113</v>
      </c>
      <c r="R51" s="16" t="n">
        <v>128400</v>
      </c>
      <c r="S51" s="14" t="n">
        <f aca="false">IF(N51="Closed Won","",P51-ReportDate)</f>
        <v>67</v>
      </c>
      <c r="T51" s="14" t="str">
        <f aca="false">IF(N51="Closed Won","closed",IF(S51&lt;0,"past closed",IF(S51&lt;=10,"update","on track")))</f>
        <v>on track</v>
      </c>
      <c r="U51" s="14" t="str">
        <f aca="false">IF(H51="","No D&amp;B match",IF(TRIM(G51)=TRIM(H51),"Match","Mismatch"))</f>
        <v>Mismatch</v>
      </c>
      <c r="V51" s="14" t="str">
        <f aca="false">IF(K51="","No D&amp;B match",IF(J51="","Missing in CRM",IF(J51=K51,"Match","Mismatch")))</f>
        <v>Match</v>
      </c>
      <c r="W51" s="14" t="str">
        <f aca="false">IF(M51="","No D&amp;B match",IF(L51="","Missing in CRM",IF(L51=M51,"Match","Mismatch")))</f>
        <v>Match</v>
      </c>
      <c r="X51" s="14" t="n">
        <f aca="false">COUNTIF(U51:W51,"&lt;&gt;Match")+IF(T51="past closed",1,0)</f>
        <v>1</v>
      </c>
      <c r="Y51" s="14" t="str">
        <f aca="false">IF(X51=0,"Clean","Review")</f>
        <v>Review</v>
      </c>
    </row>
    <row r="52" customFormat="false" ht="15" hidden="false" customHeight="false" outlineLevel="0" collapsed="false">
      <c r="A52" s="14" t="s">
        <v>538</v>
      </c>
      <c r="B52" s="14" t="s">
        <v>539</v>
      </c>
      <c r="C52" s="14" t="s">
        <v>116</v>
      </c>
      <c r="D52" s="14" t="s">
        <v>33</v>
      </c>
      <c r="E52" s="14" t="s">
        <v>540</v>
      </c>
      <c r="F52" s="14" t="s">
        <v>222</v>
      </c>
      <c r="G52" s="14" t="s">
        <v>541</v>
      </c>
      <c r="H52" s="14" t="s">
        <v>541</v>
      </c>
      <c r="I52" s="14" t="s">
        <v>396</v>
      </c>
      <c r="J52" s="14" t="n">
        <v>5961</v>
      </c>
      <c r="K52" s="14" t="n">
        <v>7011</v>
      </c>
      <c r="L52" s="14" t="n">
        <v>772780479</v>
      </c>
      <c r="M52" s="14" t="n">
        <v>189535586</v>
      </c>
      <c r="N52" s="14" t="s">
        <v>63</v>
      </c>
      <c r="O52" s="15" t="n">
        <v>45512</v>
      </c>
      <c r="P52" s="15" t="n">
        <v>45768</v>
      </c>
      <c r="Q52" s="14" t="s">
        <v>203</v>
      </c>
      <c r="R52" s="16" t="n">
        <v>87600</v>
      </c>
      <c r="S52" s="14" t="n">
        <f aca="false">IF(N52="Closed Won","",P52-ReportDate)</f>
        <v>-87</v>
      </c>
      <c r="T52" s="14" t="str">
        <f aca="false">IF(N52="Closed Won","closed",IF(S52&lt;0,"past closed",IF(S52&lt;=10,"update","on track")))</f>
        <v>past closed</v>
      </c>
      <c r="U52" s="14" t="str">
        <f aca="false">IF(H52="","No D&amp;B match",IF(TRIM(G52)=TRIM(H52),"Match","Mismatch"))</f>
        <v>Match</v>
      </c>
      <c r="V52" s="14" t="str">
        <f aca="false">IF(K52="","No D&amp;B match",IF(J52="","Missing in CRM",IF(J52=K52,"Match","Mismatch")))</f>
        <v>Mismatch</v>
      </c>
      <c r="W52" s="14" t="str">
        <f aca="false">IF(M52="","No D&amp;B match",IF(L52="","Missing in CRM",IF(L52=M52,"Match","Mismatch")))</f>
        <v>Mismatch</v>
      </c>
      <c r="X52" s="14" t="n">
        <f aca="false">COUNTIF(U52:W52,"&lt;&gt;Match")+IF(T52="past closed",1,0)</f>
        <v>3</v>
      </c>
      <c r="Y52" s="14" t="str">
        <f aca="false">IF(X52=0,"Clean","Review")</f>
        <v>Review</v>
      </c>
    </row>
    <row r="53" customFormat="false" ht="15" hidden="false" customHeight="false" outlineLevel="0" collapsed="false">
      <c r="A53" s="14" t="s">
        <v>243</v>
      </c>
      <c r="B53" s="14" t="s">
        <v>244</v>
      </c>
      <c r="C53" s="14" t="s">
        <v>122</v>
      </c>
      <c r="D53" s="14" t="s">
        <v>32</v>
      </c>
      <c r="E53" s="14" t="s">
        <v>245</v>
      </c>
      <c r="F53" s="14" t="s">
        <v>157</v>
      </c>
      <c r="G53" s="14" t="s">
        <v>246</v>
      </c>
      <c r="H53" s="14" t="s">
        <v>246</v>
      </c>
      <c r="I53" s="14" t="s">
        <v>396</v>
      </c>
      <c r="J53" s="14" t="n">
        <v>7011</v>
      </c>
      <c r="K53" s="14" t="n">
        <v>7011</v>
      </c>
      <c r="L53" s="14" t="n">
        <v>695870747</v>
      </c>
      <c r="M53" s="14" t="n">
        <v>695870747</v>
      </c>
      <c r="N53" s="14" t="s">
        <v>63</v>
      </c>
      <c r="O53" s="15" t="n">
        <v>45446</v>
      </c>
      <c r="P53" s="15" t="n">
        <v>45632</v>
      </c>
      <c r="Q53" s="14" t="s">
        <v>92</v>
      </c>
      <c r="R53" s="16" t="n">
        <v>293600</v>
      </c>
      <c r="S53" s="14" t="n">
        <f aca="false">IF(N53="Closed Won","",P53-ReportDate)</f>
        <v>-223</v>
      </c>
      <c r="T53" s="14" t="str">
        <f aca="false">IF(N53="Closed Won","closed",IF(S53&lt;0,"past closed",IF(S53&lt;=10,"update","on track")))</f>
        <v>past closed</v>
      </c>
      <c r="U53" s="14" t="str">
        <f aca="false">IF(H53="","No D&amp;B match",IF(TRIM(G53)=TRIM(H53),"Match","Mismatch"))</f>
        <v>Match</v>
      </c>
      <c r="V53" s="14" t="str">
        <f aca="false">IF(K53="","No D&amp;B match",IF(J53="","Missing in CRM",IF(J53=K53,"Match","Mismatch")))</f>
        <v>Match</v>
      </c>
      <c r="W53" s="14" t="str">
        <f aca="false">IF(M53="","No D&amp;B match",IF(L53="","Missing in CRM",IF(L53=M53,"Match","Mismatch")))</f>
        <v>Match</v>
      </c>
      <c r="X53" s="14" t="n">
        <f aca="false">COUNTIF(U53:W53,"&lt;&gt;Match")+IF(T53="past closed",1,0)</f>
        <v>1</v>
      </c>
      <c r="Y53" s="14" t="str">
        <f aca="false">IF(X53=0,"Clean","Review")</f>
        <v>Review</v>
      </c>
    </row>
    <row r="54" customFormat="false" ht="15" hidden="false" customHeight="false" outlineLevel="0" collapsed="false">
      <c r="A54" s="14" t="s">
        <v>189</v>
      </c>
      <c r="B54" s="14" t="s">
        <v>190</v>
      </c>
      <c r="C54" s="14" t="s">
        <v>191</v>
      </c>
      <c r="D54" s="14" t="s">
        <v>34</v>
      </c>
      <c r="E54" s="14" t="s">
        <v>192</v>
      </c>
      <c r="F54" s="14" t="s">
        <v>193</v>
      </c>
      <c r="G54" s="14" t="s">
        <v>194</v>
      </c>
      <c r="H54" s="14" t="s">
        <v>194</v>
      </c>
      <c r="I54" s="14" t="s">
        <v>375</v>
      </c>
      <c r="J54" s="14" t="n">
        <v>4841</v>
      </c>
      <c r="K54" s="14" t="n">
        <v>4841</v>
      </c>
      <c r="L54" s="14" t="n">
        <v>376112768</v>
      </c>
      <c r="M54" s="14" t="n">
        <v>376112768</v>
      </c>
      <c r="N54" s="14" t="s">
        <v>63</v>
      </c>
      <c r="O54" s="15" t="n">
        <v>45658</v>
      </c>
      <c r="P54" s="15" t="n">
        <v>45918</v>
      </c>
      <c r="Q54" s="14" t="s">
        <v>113</v>
      </c>
      <c r="R54" s="16" t="n">
        <v>397600</v>
      </c>
      <c r="S54" s="14" t="n">
        <f aca="false">IF(N54="Closed Won","",P54-ReportDate)</f>
        <v>63</v>
      </c>
      <c r="T54" s="14" t="str">
        <f aca="false">IF(N54="Closed Won","closed",IF(S54&lt;0,"past closed",IF(S54&lt;=10,"update","on track")))</f>
        <v>on track</v>
      </c>
      <c r="U54" s="14" t="str">
        <f aca="false">IF(H54="","No D&amp;B match",IF(TRIM(G54)=TRIM(H54),"Match","Mismatch"))</f>
        <v>Match</v>
      </c>
      <c r="V54" s="14" t="str">
        <f aca="false">IF(K54="","No D&amp;B match",IF(J54="","Missing in CRM",IF(J54=K54,"Match","Mismatch")))</f>
        <v>Match</v>
      </c>
      <c r="W54" s="14" t="str">
        <f aca="false">IF(M54="","No D&amp;B match",IF(L54="","Missing in CRM",IF(L54=M54,"Match","Mismatch")))</f>
        <v>Match</v>
      </c>
      <c r="X54" s="14" t="n">
        <f aca="false">COUNTIF(U54:W54,"&lt;&gt;Match")+IF(T54="past closed",1,0)</f>
        <v>0</v>
      </c>
      <c r="Y54" s="14" t="str">
        <f aca="false">IF(X54=0,"Clean","Review")</f>
        <v>Clean</v>
      </c>
    </row>
    <row r="55" customFormat="false" ht="15" hidden="false" customHeight="false" outlineLevel="0" collapsed="false">
      <c r="A55" s="14" t="s">
        <v>275</v>
      </c>
      <c r="B55" s="14" t="s">
        <v>276</v>
      </c>
      <c r="C55" s="14" t="s">
        <v>144</v>
      </c>
      <c r="D55" s="14" t="s">
        <v>34</v>
      </c>
      <c r="E55" s="14" t="s">
        <v>277</v>
      </c>
      <c r="F55" s="14" t="s">
        <v>278</v>
      </c>
      <c r="G55" s="14" t="s">
        <v>279</v>
      </c>
      <c r="H55" s="14" t="s">
        <v>279</v>
      </c>
      <c r="I55" s="14" t="s">
        <v>396</v>
      </c>
      <c r="J55" s="14" t="n">
        <v>7011</v>
      </c>
      <c r="K55" s="14" t="n">
        <v>7011</v>
      </c>
      <c r="L55" s="14" t="n">
        <v>531006272</v>
      </c>
      <c r="M55" s="14" t="n">
        <v>531006272</v>
      </c>
      <c r="N55" s="14" t="s">
        <v>107</v>
      </c>
      <c r="O55" s="15" t="n">
        <v>45632</v>
      </c>
      <c r="P55" s="15" t="n">
        <v>45890</v>
      </c>
      <c r="Q55" s="14" t="s">
        <v>113</v>
      </c>
      <c r="R55" s="16" t="n">
        <v>214100</v>
      </c>
      <c r="S55" s="14" t="n">
        <f aca="false">IF(N55="Closed Won","",P55-ReportDate)</f>
        <v>35</v>
      </c>
      <c r="T55" s="14" t="str">
        <f aca="false">IF(N55="Closed Won","closed",IF(S55&lt;0,"past closed",IF(S55&lt;=10,"update","on track")))</f>
        <v>on track</v>
      </c>
      <c r="U55" s="14" t="str">
        <f aca="false">IF(H55="","No D&amp;B match",IF(TRIM(G55)=TRIM(H55),"Match","Mismatch"))</f>
        <v>Match</v>
      </c>
      <c r="V55" s="14" t="str">
        <f aca="false">IF(K55="","No D&amp;B match",IF(J55="","Missing in CRM",IF(J55=K55,"Match","Mismatch")))</f>
        <v>Match</v>
      </c>
      <c r="W55" s="14" t="str">
        <f aca="false">IF(M55="","No D&amp;B match",IF(L55="","Missing in CRM",IF(L55=M55,"Match","Mismatch")))</f>
        <v>Match</v>
      </c>
      <c r="X55" s="14" t="n">
        <f aca="false">COUNTIF(U55:W55,"&lt;&gt;Match")+IF(T55="past closed",1,0)</f>
        <v>0</v>
      </c>
      <c r="Y55" s="14" t="str">
        <f aca="false">IF(X55=0,"Clean","Review")</f>
        <v>Clean</v>
      </c>
    </row>
    <row r="56" customFormat="false" ht="15" hidden="false" customHeight="false" outlineLevel="0" collapsed="false">
      <c r="A56" s="14" t="s">
        <v>284</v>
      </c>
      <c r="B56" s="14" t="s">
        <v>285</v>
      </c>
      <c r="C56" s="14" t="s">
        <v>286</v>
      </c>
      <c r="D56" s="14" t="s">
        <v>34</v>
      </c>
      <c r="E56" s="14" t="s">
        <v>287</v>
      </c>
      <c r="F56" s="14" t="s">
        <v>146</v>
      </c>
      <c r="G56" s="14" t="s">
        <v>288</v>
      </c>
      <c r="H56" s="14" t="s">
        <v>288</v>
      </c>
      <c r="I56" s="14" t="s">
        <v>396</v>
      </c>
      <c r="J56" s="14" t="n">
        <v>7011</v>
      </c>
      <c r="K56" s="14" t="n">
        <v>7011</v>
      </c>
      <c r="L56" s="14" t="n">
        <v>112750338</v>
      </c>
      <c r="M56" s="14" t="n">
        <v>112750338</v>
      </c>
      <c r="N56" s="14" t="s">
        <v>99</v>
      </c>
      <c r="O56" s="15" t="n">
        <v>45718</v>
      </c>
      <c r="P56" s="15" t="n">
        <v>45792</v>
      </c>
      <c r="Q56" s="14" t="s">
        <v>203</v>
      </c>
      <c r="R56" s="16" t="n">
        <v>40400</v>
      </c>
      <c r="S56" s="14" t="str">
        <f aca="false">IF(N56="Closed Won","",P56-ReportDate)</f>
        <v/>
      </c>
      <c r="T56" s="14" t="str">
        <f aca="false">IF(N56="Closed Won","closed",IF(S56&lt;0,"past closed",IF(S56&lt;=10,"update","on track")))</f>
        <v>closed</v>
      </c>
      <c r="U56" s="14" t="str">
        <f aca="false">IF(H56="","No D&amp;B match",IF(TRIM(G56)=TRIM(H56),"Match","Mismatch"))</f>
        <v>Match</v>
      </c>
      <c r="V56" s="14" t="str">
        <f aca="false">IF(K56="","No D&amp;B match",IF(J56="","Missing in CRM",IF(J56=K56,"Match","Mismatch")))</f>
        <v>Match</v>
      </c>
      <c r="W56" s="14" t="str">
        <f aca="false">IF(M56="","No D&amp;B match",IF(L56="","Missing in CRM",IF(L56=M56,"Match","Mismatch")))</f>
        <v>Match</v>
      </c>
      <c r="X56" s="14" t="n">
        <f aca="false">COUNTIF(U56:W56,"&lt;&gt;Match")+IF(T56="past closed",1,0)</f>
        <v>0</v>
      </c>
      <c r="Y56" s="14" t="str">
        <f aca="false">IF(X56=0,"Clean","Review")</f>
        <v>Clean</v>
      </c>
    </row>
    <row r="57" customFormat="false" ht="15" hidden="false" customHeight="false" outlineLevel="0" collapsed="false">
      <c r="A57" s="14" t="s">
        <v>542</v>
      </c>
      <c r="B57" s="14" t="s">
        <v>543</v>
      </c>
      <c r="C57" s="14" t="s">
        <v>191</v>
      </c>
      <c r="D57" s="14" t="s">
        <v>34</v>
      </c>
      <c r="E57" s="14" t="s">
        <v>544</v>
      </c>
      <c r="F57" s="14" t="s">
        <v>326</v>
      </c>
      <c r="G57" s="14" t="s">
        <v>545</v>
      </c>
      <c r="H57" s="14" t="s">
        <v>545</v>
      </c>
      <c r="I57" s="14" t="s">
        <v>382</v>
      </c>
      <c r="J57" s="14" t="n">
        <v>6022</v>
      </c>
      <c r="K57" s="14" t="n">
        <v>6022</v>
      </c>
      <c r="L57" s="14" t="n">
        <v>736278288</v>
      </c>
      <c r="M57" s="14" t="n">
        <v>736278288</v>
      </c>
      <c r="N57" s="14" t="s">
        <v>107</v>
      </c>
      <c r="O57" s="15" t="n">
        <v>45688</v>
      </c>
      <c r="P57" s="15" t="n">
        <v>45936</v>
      </c>
      <c r="Q57" s="14" t="s">
        <v>72</v>
      </c>
      <c r="R57" s="16" t="n">
        <v>259200</v>
      </c>
      <c r="S57" s="14" t="n">
        <f aca="false">IF(N57="Closed Won","",P57-ReportDate)</f>
        <v>81</v>
      </c>
      <c r="T57" s="14" t="str">
        <f aca="false">IF(N57="Closed Won","closed",IF(S57&lt;0,"past closed",IF(S57&lt;=10,"update","on track")))</f>
        <v>on track</v>
      </c>
      <c r="U57" s="14" t="str">
        <f aca="false">IF(H57="","No D&amp;B match",IF(TRIM(G57)=TRIM(H57),"Match","Mismatch"))</f>
        <v>Match</v>
      </c>
      <c r="V57" s="14" t="str">
        <f aca="false">IF(K57="","No D&amp;B match",IF(J57="","Missing in CRM",IF(J57=K57,"Match","Mismatch")))</f>
        <v>Match</v>
      </c>
      <c r="W57" s="14" t="str">
        <f aca="false">IF(M57="","No D&amp;B match",IF(L57="","Missing in CRM",IF(L57=M57,"Match","Mismatch")))</f>
        <v>Match</v>
      </c>
      <c r="X57" s="14" t="n">
        <f aca="false">COUNTIF(U57:W57,"&lt;&gt;Match")+IF(T57="past closed",1,0)</f>
        <v>0</v>
      </c>
      <c r="Y57" s="14" t="str">
        <f aca="false">IF(X57=0,"Clean","Review")</f>
        <v>Clean</v>
      </c>
    </row>
    <row r="58" customFormat="false" ht="15" hidden="false" customHeight="false" outlineLevel="0" collapsed="false">
      <c r="A58" s="14" t="s">
        <v>546</v>
      </c>
      <c r="B58" s="14" t="s">
        <v>547</v>
      </c>
      <c r="C58" s="14" t="s">
        <v>227</v>
      </c>
      <c r="D58" s="14" t="s">
        <v>37</v>
      </c>
      <c r="E58" s="14" t="s">
        <v>548</v>
      </c>
      <c r="F58" s="14" t="s">
        <v>61</v>
      </c>
      <c r="G58" s="14" t="s">
        <v>549</v>
      </c>
      <c r="H58" s="14"/>
      <c r="I58" s="14" t="s">
        <v>419</v>
      </c>
      <c r="J58" s="14"/>
      <c r="K58" s="14"/>
      <c r="L58" s="14"/>
      <c r="M58" s="14"/>
      <c r="N58" s="14" t="s">
        <v>63</v>
      </c>
      <c r="O58" s="15" t="n">
        <v>45803</v>
      </c>
      <c r="P58" s="15" t="n">
        <v>45970</v>
      </c>
      <c r="Q58" s="14" t="s">
        <v>72</v>
      </c>
      <c r="R58" s="16" t="n">
        <v>172100</v>
      </c>
      <c r="S58" s="14" t="n">
        <f aca="false">IF(N58="Closed Won","",P58-ReportDate)</f>
        <v>115</v>
      </c>
      <c r="T58" s="14" t="str">
        <f aca="false">IF(N58="Closed Won","closed",IF(S58&lt;0,"past closed",IF(S58&lt;=10,"update","on track")))</f>
        <v>on track</v>
      </c>
      <c r="U58" s="14" t="str">
        <f aca="false">IF(H58="","No D&amp;B match",IF(TRIM(G58)=TRIM(H58),"Match","Mismatch"))</f>
        <v>No D&amp;B match</v>
      </c>
      <c r="V58" s="14" t="str">
        <f aca="false">IF(K58="","No D&amp;B match",IF(J58="","Missing in CRM",IF(J58=K58,"Match","Mismatch")))</f>
        <v>No D&amp;B match</v>
      </c>
      <c r="W58" s="14" t="str">
        <f aca="false">IF(M58="","No D&amp;B match",IF(L58="","Missing in CRM",IF(L58=M58,"Match","Mismatch")))</f>
        <v>No D&amp;B match</v>
      </c>
      <c r="X58" s="14" t="n">
        <f aca="false">COUNTIF(U58:W58,"&lt;&gt;Match")+IF(T58="past closed",1,0)</f>
        <v>3</v>
      </c>
      <c r="Y58" s="14" t="str">
        <f aca="false">IF(X58=0,"Clean","Review")</f>
        <v>Review</v>
      </c>
    </row>
    <row r="59" customFormat="false" ht="15" hidden="false" customHeight="false" outlineLevel="0" collapsed="false">
      <c r="A59" s="14" t="s">
        <v>550</v>
      </c>
      <c r="B59" s="14" t="s">
        <v>551</v>
      </c>
      <c r="C59" s="14" t="s">
        <v>161</v>
      </c>
      <c r="D59" s="14" t="s">
        <v>35</v>
      </c>
      <c r="E59" s="14" t="s">
        <v>552</v>
      </c>
      <c r="F59" s="14" t="s">
        <v>129</v>
      </c>
      <c r="G59" s="14" t="s">
        <v>553</v>
      </c>
      <c r="H59" s="14" t="s">
        <v>553</v>
      </c>
      <c r="I59" s="14" t="s">
        <v>406</v>
      </c>
      <c r="J59" s="14" t="n">
        <v>5961</v>
      </c>
      <c r="K59" s="14" t="n">
        <v>5961</v>
      </c>
      <c r="L59" s="14" t="n">
        <v>624150431</v>
      </c>
      <c r="M59" s="14" t="n">
        <v>624150431</v>
      </c>
      <c r="N59" s="14" t="s">
        <v>99</v>
      </c>
      <c r="O59" s="15" t="n">
        <v>45748</v>
      </c>
      <c r="P59" s="15" t="n">
        <v>45799</v>
      </c>
      <c r="Q59" s="14" t="s">
        <v>203</v>
      </c>
      <c r="R59" s="16" t="n">
        <v>20400</v>
      </c>
      <c r="S59" s="14" t="str">
        <f aca="false">IF(N59="Closed Won","",P59-ReportDate)</f>
        <v/>
      </c>
      <c r="T59" s="14" t="str">
        <f aca="false">IF(N59="Closed Won","closed",IF(S59&lt;0,"past closed",IF(S59&lt;=10,"update","on track")))</f>
        <v>closed</v>
      </c>
      <c r="U59" s="14" t="str">
        <f aca="false">IF(H59="","No D&amp;B match",IF(TRIM(G59)=TRIM(H59),"Match","Mismatch"))</f>
        <v>Match</v>
      </c>
      <c r="V59" s="14" t="str">
        <f aca="false">IF(K59="","No D&amp;B match",IF(J59="","Missing in CRM",IF(J59=K59,"Match","Mismatch")))</f>
        <v>Match</v>
      </c>
      <c r="W59" s="14" t="str">
        <f aca="false">IF(M59="","No D&amp;B match",IF(L59="","Missing in CRM",IF(L59=M59,"Match","Mismatch")))</f>
        <v>Match</v>
      </c>
      <c r="X59" s="14" t="n">
        <f aca="false">COUNTIF(U59:W59,"&lt;&gt;Match")+IF(T59="past closed",1,0)</f>
        <v>0</v>
      </c>
      <c r="Y59" s="14" t="str">
        <f aca="false">IF(X59=0,"Clean","Review")</f>
        <v>Clean</v>
      </c>
    </row>
    <row r="60" customFormat="false" ht="15" hidden="false" customHeight="false" outlineLevel="0" collapsed="false">
      <c r="A60" s="14" t="s">
        <v>554</v>
      </c>
      <c r="B60" s="14" t="s">
        <v>555</v>
      </c>
      <c r="C60" s="14" t="s">
        <v>103</v>
      </c>
      <c r="D60" s="14" t="s">
        <v>32</v>
      </c>
      <c r="E60" s="14" t="s">
        <v>556</v>
      </c>
      <c r="F60" s="14" t="s">
        <v>157</v>
      </c>
      <c r="G60" s="14" t="s">
        <v>557</v>
      </c>
      <c r="H60" s="14"/>
      <c r="I60" s="14" t="s">
        <v>468</v>
      </c>
      <c r="J60" s="14"/>
      <c r="K60" s="14"/>
      <c r="L60" s="14"/>
      <c r="M60" s="14"/>
      <c r="N60" s="14" t="s">
        <v>99</v>
      </c>
      <c r="O60" s="15" t="n">
        <v>45634</v>
      </c>
      <c r="P60" s="15" t="n">
        <v>45684</v>
      </c>
      <c r="Q60" s="14" t="s">
        <v>85</v>
      </c>
      <c r="R60" s="16" t="n">
        <v>440900</v>
      </c>
      <c r="S60" s="14" t="str">
        <f aca="false">IF(N60="Closed Won","",P60-ReportDate)</f>
        <v/>
      </c>
      <c r="T60" s="14" t="str">
        <f aca="false">IF(N60="Closed Won","closed",IF(S60&lt;0,"past closed",IF(S60&lt;=10,"update","on track")))</f>
        <v>closed</v>
      </c>
      <c r="U60" s="14" t="str">
        <f aca="false">IF(H60="","No D&amp;B match",IF(TRIM(G60)=TRIM(H60),"Match","Mismatch"))</f>
        <v>No D&amp;B match</v>
      </c>
      <c r="V60" s="14" t="str">
        <f aca="false">IF(K60="","No D&amp;B match",IF(J60="","Missing in CRM",IF(J60=K60,"Match","Mismatch")))</f>
        <v>No D&amp;B match</v>
      </c>
      <c r="W60" s="14" t="str">
        <f aca="false">IF(M60="","No D&amp;B match",IF(L60="","Missing in CRM",IF(L60=M60,"Match","Mismatch")))</f>
        <v>No D&amp;B match</v>
      </c>
      <c r="X60" s="14" t="n">
        <f aca="false">COUNTIF(U60:W60,"&lt;&gt;Match")+IF(T60="past closed",1,0)</f>
        <v>3</v>
      </c>
      <c r="Y60" s="14" t="str">
        <f aca="false">IF(X60=0,"Clean","Review")</f>
        <v>Review</v>
      </c>
    </row>
    <row r="61" customFormat="false" ht="15" hidden="false" customHeight="false" outlineLevel="0" collapsed="false">
      <c r="A61" s="14" t="s">
        <v>558</v>
      </c>
      <c r="B61" s="14" t="s">
        <v>559</v>
      </c>
      <c r="C61" s="14" t="s">
        <v>171</v>
      </c>
      <c r="D61" s="14" t="s">
        <v>33</v>
      </c>
      <c r="E61" s="14" t="s">
        <v>560</v>
      </c>
      <c r="F61" s="14" t="s">
        <v>222</v>
      </c>
      <c r="G61" s="14" t="s">
        <v>561</v>
      </c>
      <c r="H61" s="14" t="s">
        <v>561</v>
      </c>
      <c r="I61" s="14" t="s">
        <v>381</v>
      </c>
      <c r="J61" s="14" t="n">
        <v>5122</v>
      </c>
      <c r="K61" s="14" t="n">
        <v>5122</v>
      </c>
      <c r="L61" s="14" t="n">
        <v>739847731</v>
      </c>
      <c r="M61" s="14" t="n">
        <v>739847731</v>
      </c>
      <c r="N61" s="14" t="s">
        <v>63</v>
      </c>
      <c r="O61" s="15" t="n">
        <v>45619</v>
      </c>
      <c r="P61" s="15" t="n">
        <v>45885</v>
      </c>
      <c r="Q61" s="14" t="s">
        <v>113</v>
      </c>
      <c r="R61" s="16" t="n">
        <v>33400</v>
      </c>
      <c r="S61" s="14" t="n">
        <f aca="false">IF(N61="Closed Won","",P61-ReportDate)</f>
        <v>30</v>
      </c>
      <c r="T61" s="14" t="str">
        <f aca="false">IF(N61="Closed Won","closed",IF(S61&lt;0,"past closed",IF(S61&lt;=10,"update","on track")))</f>
        <v>on track</v>
      </c>
      <c r="U61" s="14" t="str">
        <f aca="false">IF(H61="","No D&amp;B match",IF(TRIM(G61)=TRIM(H61),"Match","Mismatch"))</f>
        <v>Match</v>
      </c>
      <c r="V61" s="14" t="str">
        <f aca="false">IF(K61="","No D&amp;B match",IF(J61="","Missing in CRM",IF(J61=K61,"Match","Mismatch")))</f>
        <v>Match</v>
      </c>
      <c r="W61" s="14" t="str">
        <f aca="false">IF(M61="","No D&amp;B match",IF(L61="","Missing in CRM",IF(L61=M61,"Match","Mismatch")))</f>
        <v>Match</v>
      </c>
      <c r="X61" s="14" t="n">
        <f aca="false">COUNTIF(U61:W61,"&lt;&gt;Match")+IF(T61="past closed",1,0)</f>
        <v>0</v>
      </c>
      <c r="Y61" s="14" t="str">
        <f aca="false">IF(X61=0,"Clean","Review")</f>
        <v>Clean</v>
      </c>
    </row>
    <row r="62" customFormat="false" ht="15" hidden="false" customHeight="false" outlineLevel="0" collapsed="false">
      <c r="A62" s="14" t="s">
        <v>230</v>
      </c>
      <c r="B62" s="14" t="s">
        <v>231</v>
      </c>
      <c r="C62" s="14" t="s">
        <v>138</v>
      </c>
      <c r="D62" s="14" t="s">
        <v>33</v>
      </c>
      <c r="E62" s="14" t="s">
        <v>232</v>
      </c>
      <c r="F62" s="14" t="s">
        <v>140</v>
      </c>
      <c r="G62" s="14" t="s">
        <v>233</v>
      </c>
      <c r="H62" s="14" t="s">
        <v>233</v>
      </c>
      <c r="I62" s="14" t="s">
        <v>396</v>
      </c>
      <c r="J62" s="14"/>
      <c r="K62" s="14" t="n">
        <v>7011</v>
      </c>
      <c r="L62" s="14"/>
      <c r="M62" s="14" t="n">
        <v>861946990</v>
      </c>
      <c r="N62" s="14" t="s">
        <v>63</v>
      </c>
      <c r="O62" s="15" t="n">
        <v>45687</v>
      </c>
      <c r="P62" s="15" t="n">
        <v>45874</v>
      </c>
      <c r="Q62" s="14" t="s">
        <v>113</v>
      </c>
      <c r="R62" s="16" t="n">
        <v>34300</v>
      </c>
      <c r="S62" s="14" t="n">
        <f aca="false">IF(N62="Closed Won","",P62-ReportDate)</f>
        <v>19</v>
      </c>
      <c r="T62" s="14" t="str">
        <f aca="false">IF(N62="Closed Won","closed",IF(S62&lt;0,"past closed",IF(S62&lt;=10,"update","on track")))</f>
        <v>on track</v>
      </c>
      <c r="U62" s="14" t="str">
        <f aca="false">IF(H62="","No D&amp;B match",IF(TRIM(G62)=TRIM(H62),"Match","Mismatch"))</f>
        <v>Match</v>
      </c>
      <c r="V62" s="14" t="str">
        <f aca="false">IF(K62="","No D&amp;B match",IF(J62="","Missing in CRM",IF(J62=K62,"Match","Mismatch")))</f>
        <v>Missing in CRM</v>
      </c>
      <c r="W62" s="14" t="str">
        <f aca="false">IF(M62="","No D&amp;B match",IF(L62="","Missing in CRM",IF(L62=M62,"Match","Mismatch")))</f>
        <v>Missing in CRM</v>
      </c>
      <c r="X62" s="14" t="n">
        <f aca="false">COUNTIF(U62:W62,"&lt;&gt;Match")+IF(T62="past closed",1,0)</f>
        <v>2</v>
      </c>
      <c r="Y62" s="14" t="str">
        <f aca="false">IF(X62=0,"Clean","Review")</f>
        <v>Review</v>
      </c>
    </row>
    <row r="63" customFormat="false" ht="15" hidden="false" customHeight="false" outlineLevel="0" collapsed="false">
      <c r="A63" s="14" t="s">
        <v>562</v>
      </c>
      <c r="B63" s="14" t="s">
        <v>563</v>
      </c>
      <c r="C63" s="14" t="s">
        <v>286</v>
      </c>
      <c r="D63" s="14" t="s">
        <v>34</v>
      </c>
      <c r="E63" s="14" t="s">
        <v>564</v>
      </c>
      <c r="F63" s="14" t="s">
        <v>193</v>
      </c>
      <c r="G63" s="14" t="s">
        <v>565</v>
      </c>
      <c r="H63" s="14" t="s">
        <v>565</v>
      </c>
      <c r="I63" s="14" t="s">
        <v>396</v>
      </c>
      <c r="J63" s="14"/>
      <c r="K63" s="14" t="n">
        <v>7011</v>
      </c>
      <c r="L63" s="14"/>
      <c r="M63" s="14" t="n">
        <v>470016259</v>
      </c>
      <c r="N63" s="14" t="s">
        <v>107</v>
      </c>
      <c r="O63" s="15" t="n">
        <v>45324</v>
      </c>
      <c r="P63" s="15" t="n">
        <v>45414</v>
      </c>
      <c r="Q63" s="14" t="s">
        <v>64</v>
      </c>
      <c r="R63" s="16" t="n">
        <v>77600</v>
      </c>
      <c r="S63" s="14" t="n">
        <f aca="false">IF(N63="Closed Won","",P63-ReportDate)</f>
        <v>-441</v>
      </c>
      <c r="T63" s="14" t="str">
        <f aca="false">IF(N63="Closed Won","closed",IF(S63&lt;0,"past closed",IF(S63&lt;=10,"update","on track")))</f>
        <v>past closed</v>
      </c>
      <c r="U63" s="14" t="str">
        <f aca="false">IF(H63="","No D&amp;B match",IF(TRIM(G63)=TRIM(H63),"Match","Mismatch"))</f>
        <v>Match</v>
      </c>
      <c r="V63" s="14" t="str">
        <f aca="false">IF(K63="","No D&amp;B match",IF(J63="","Missing in CRM",IF(J63=K63,"Match","Mismatch")))</f>
        <v>Missing in CRM</v>
      </c>
      <c r="W63" s="14" t="str">
        <f aca="false">IF(M63="","No D&amp;B match",IF(L63="","Missing in CRM",IF(L63=M63,"Match","Mismatch")))</f>
        <v>Missing in CRM</v>
      </c>
      <c r="X63" s="14" t="n">
        <f aca="false">COUNTIF(U63:W63,"&lt;&gt;Match")+IF(T63="past closed",1,0)</f>
        <v>3</v>
      </c>
      <c r="Y63" s="14" t="str">
        <f aca="false">IF(X63=0,"Clean","Review")</f>
        <v>Review</v>
      </c>
    </row>
    <row r="64" customFormat="false" ht="15" hidden="false" customHeight="false" outlineLevel="0" collapsed="false">
      <c r="A64" s="14" t="s">
        <v>271</v>
      </c>
      <c r="B64" s="14" t="s">
        <v>272</v>
      </c>
      <c r="C64" s="14" t="s">
        <v>81</v>
      </c>
      <c r="D64" s="14" t="s">
        <v>38</v>
      </c>
      <c r="E64" s="14" t="s">
        <v>273</v>
      </c>
      <c r="F64" s="14" t="s">
        <v>217</v>
      </c>
      <c r="G64" s="14" t="s">
        <v>274</v>
      </c>
      <c r="H64" s="14" t="s">
        <v>274</v>
      </c>
      <c r="I64" s="14" t="s">
        <v>375</v>
      </c>
      <c r="J64" s="14" t="n">
        <v>4841</v>
      </c>
      <c r="K64" s="14" t="n">
        <v>4841</v>
      </c>
      <c r="L64" s="14" t="n">
        <v>945054255</v>
      </c>
      <c r="M64" s="14" t="n">
        <v>945054255</v>
      </c>
      <c r="N64" s="14" t="s">
        <v>63</v>
      </c>
      <c r="O64" s="15" t="n">
        <v>45366</v>
      </c>
      <c r="P64" s="15" t="n">
        <v>45608</v>
      </c>
      <c r="Q64" s="14" t="s">
        <v>92</v>
      </c>
      <c r="R64" s="16" t="n">
        <v>84300</v>
      </c>
      <c r="S64" s="14" t="n">
        <f aca="false">IF(N64="Closed Won","",P64-ReportDate)</f>
        <v>-247</v>
      </c>
      <c r="T64" s="14" t="str">
        <f aca="false">IF(N64="Closed Won","closed",IF(S64&lt;0,"past closed",IF(S64&lt;=10,"update","on track")))</f>
        <v>past closed</v>
      </c>
      <c r="U64" s="14" t="str">
        <f aca="false">IF(H64="","No D&amp;B match",IF(TRIM(G64)=TRIM(H64),"Match","Mismatch"))</f>
        <v>Match</v>
      </c>
      <c r="V64" s="14" t="str">
        <f aca="false">IF(K64="","No D&amp;B match",IF(J64="","Missing in CRM",IF(J64=K64,"Match","Mismatch")))</f>
        <v>Match</v>
      </c>
      <c r="W64" s="14" t="str">
        <f aca="false">IF(M64="","No D&amp;B match",IF(L64="","Missing in CRM",IF(L64=M64,"Match","Mismatch")))</f>
        <v>Match</v>
      </c>
      <c r="X64" s="14" t="n">
        <f aca="false">COUNTIF(U64:W64,"&lt;&gt;Match")+IF(T64="past closed",1,0)</f>
        <v>1</v>
      </c>
      <c r="Y64" s="14" t="str">
        <f aca="false">IF(X64=0,"Clean","Review")</f>
        <v>Review</v>
      </c>
    </row>
    <row r="65" customFormat="false" ht="15" hidden="false" customHeight="false" outlineLevel="0" collapsed="false">
      <c r="A65" s="14" t="s">
        <v>164</v>
      </c>
      <c r="B65" s="14" t="s">
        <v>165</v>
      </c>
      <c r="C65" s="14" t="s">
        <v>166</v>
      </c>
      <c r="D65" s="14" t="s">
        <v>32</v>
      </c>
      <c r="E65" s="14" t="s">
        <v>167</v>
      </c>
      <c r="F65" s="14" t="s">
        <v>134</v>
      </c>
      <c r="G65" s="14" t="s">
        <v>168</v>
      </c>
      <c r="H65" s="14" t="s">
        <v>168</v>
      </c>
      <c r="I65" s="14" t="s">
        <v>396</v>
      </c>
      <c r="J65" s="14" t="n">
        <v>7011</v>
      </c>
      <c r="K65" s="14" t="n">
        <v>7011</v>
      </c>
      <c r="L65" s="14" t="n">
        <v>148148713</v>
      </c>
      <c r="M65" s="14" t="n">
        <v>148148713</v>
      </c>
      <c r="N65" s="14" t="s">
        <v>63</v>
      </c>
      <c r="O65" s="15" t="n">
        <v>45731</v>
      </c>
      <c r="P65" s="15" t="n">
        <v>45845</v>
      </c>
      <c r="Q65" s="14" t="s">
        <v>113</v>
      </c>
      <c r="R65" s="16" t="n">
        <v>473500</v>
      </c>
      <c r="S65" s="14" t="n">
        <f aca="false">IF(N65="Closed Won","",P65-ReportDate)</f>
        <v>-10</v>
      </c>
      <c r="T65" s="14" t="str">
        <f aca="false">IF(N65="Closed Won","closed",IF(S65&lt;0,"past closed",IF(S65&lt;=10,"update","on track")))</f>
        <v>past closed</v>
      </c>
      <c r="U65" s="14" t="str">
        <f aca="false">IF(H65="","No D&amp;B match",IF(TRIM(G65)=TRIM(H65),"Match","Mismatch"))</f>
        <v>Match</v>
      </c>
      <c r="V65" s="14" t="str">
        <f aca="false">IF(K65="","No D&amp;B match",IF(J65="","Missing in CRM",IF(J65=K65,"Match","Mismatch")))</f>
        <v>Match</v>
      </c>
      <c r="W65" s="14" t="str">
        <f aca="false">IF(M65="","No D&amp;B match",IF(L65="","Missing in CRM",IF(L65=M65,"Match","Mismatch")))</f>
        <v>Match</v>
      </c>
      <c r="X65" s="14" t="n">
        <f aca="false">COUNTIF(U65:W65,"&lt;&gt;Match")+IF(T65="past closed",1,0)</f>
        <v>1</v>
      </c>
      <c r="Y65" s="14" t="str">
        <f aca="false">IF(X65=0,"Clean","Review")</f>
        <v>Review</v>
      </c>
    </row>
    <row r="66" customFormat="false" ht="15" hidden="false" customHeight="false" outlineLevel="0" collapsed="false">
      <c r="A66" s="14" t="s">
        <v>131</v>
      </c>
      <c r="B66" s="14" t="s">
        <v>132</v>
      </c>
      <c r="C66" s="14" t="s">
        <v>122</v>
      </c>
      <c r="D66" s="14" t="s">
        <v>32</v>
      </c>
      <c r="E66" s="14" t="s">
        <v>133</v>
      </c>
      <c r="F66" s="14" t="s">
        <v>134</v>
      </c>
      <c r="G66" s="14" t="s">
        <v>135</v>
      </c>
      <c r="H66" s="14" t="s">
        <v>566</v>
      </c>
      <c r="I66" s="14" t="s">
        <v>419</v>
      </c>
      <c r="J66" s="14" t="n">
        <v>5999</v>
      </c>
      <c r="K66" s="14" t="n">
        <v>5999</v>
      </c>
      <c r="L66" s="14" t="n">
        <v>418018289</v>
      </c>
      <c r="M66" s="14" t="n">
        <v>418018289</v>
      </c>
      <c r="N66" s="14" t="s">
        <v>63</v>
      </c>
      <c r="O66" s="15" t="n">
        <v>45551</v>
      </c>
      <c r="P66" s="15" t="n">
        <v>45629</v>
      </c>
      <c r="Q66" s="14" t="s">
        <v>92</v>
      </c>
      <c r="R66" s="16" t="n">
        <v>26100</v>
      </c>
      <c r="S66" s="14" t="n">
        <f aca="false">IF(N66="Closed Won","",P66-ReportDate)</f>
        <v>-226</v>
      </c>
      <c r="T66" s="14" t="str">
        <f aca="false">IF(N66="Closed Won","closed",IF(S66&lt;0,"past closed",IF(S66&lt;=10,"update","on track")))</f>
        <v>past closed</v>
      </c>
      <c r="U66" s="14" t="str">
        <f aca="false">IF(H66="","No D&amp;B match",IF(TRIM(G66)=TRIM(H66),"Match","Mismatch"))</f>
        <v>Mismatch</v>
      </c>
      <c r="V66" s="14" t="str">
        <f aca="false">IF(K66="","No D&amp;B match",IF(J66="","Missing in CRM",IF(J66=K66,"Match","Mismatch")))</f>
        <v>Match</v>
      </c>
      <c r="W66" s="14" t="str">
        <f aca="false">IF(M66="","No D&amp;B match",IF(L66="","Missing in CRM",IF(L66=M66,"Match","Mismatch")))</f>
        <v>Match</v>
      </c>
      <c r="X66" s="14" t="n">
        <f aca="false">COUNTIF(U66:W66,"&lt;&gt;Match")+IF(T66="past closed",1,0)</f>
        <v>2</v>
      </c>
      <c r="Y66" s="14" t="str">
        <f aca="false">IF(X66=0,"Clean","Review")</f>
        <v>Review</v>
      </c>
    </row>
    <row r="67" customFormat="false" ht="15" hidden="false" customHeight="false" outlineLevel="0" collapsed="false">
      <c r="A67" s="14" t="s">
        <v>567</v>
      </c>
      <c r="B67" s="14" t="s">
        <v>568</v>
      </c>
      <c r="C67" s="14" t="s">
        <v>144</v>
      </c>
      <c r="D67" s="14" t="s">
        <v>34</v>
      </c>
      <c r="E67" s="14" t="s">
        <v>569</v>
      </c>
      <c r="F67" s="14" t="s">
        <v>146</v>
      </c>
      <c r="G67" s="14" t="s">
        <v>570</v>
      </c>
      <c r="H67" s="14" t="s">
        <v>570</v>
      </c>
      <c r="I67" s="14" t="s">
        <v>468</v>
      </c>
      <c r="J67" s="14" t="n">
        <v>8062</v>
      </c>
      <c r="K67" s="14" t="n">
        <v>8062</v>
      </c>
      <c r="L67" s="14" t="n">
        <v>238953874</v>
      </c>
      <c r="M67" s="14" t="n">
        <v>238953874</v>
      </c>
      <c r="N67" s="14" t="s">
        <v>107</v>
      </c>
      <c r="O67" s="15" t="n">
        <v>45681</v>
      </c>
      <c r="P67" s="15" t="n">
        <v>45792</v>
      </c>
      <c r="Q67" s="14" t="s">
        <v>203</v>
      </c>
      <c r="R67" s="16" t="n">
        <v>24900</v>
      </c>
      <c r="S67" s="14" t="n">
        <f aca="false">IF(N67="Closed Won","",P67-ReportDate)</f>
        <v>-63</v>
      </c>
      <c r="T67" s="14" t="str">
        <f aca="false">IF(N67="Closed Won","closed",IF(S67&lt;0,"past closed",IF(S67&lt;=10,"update","on track")))</f>
        <v>past closed</v>
      </c>
      <c r="U67" s="14" t="str">
        <f aca="false">IF(H67="","No D&amp;B match",IF(TRIM(G67)=TRIM(H67),"Match","Mismatch"))</f>
        <v>Match</v>
      </c>
      <c r="V67" s="14" t="str">
        <f aca="false">IF(K67="","No D&amp;B match",IF(J67="","Missing in CRM",IF(J67=K67,"Match","Mismatch")))</f>
        <v>Match</v>
      </c>
      <c r="W67" s="14" t="str">
        <f aca="false">IF(M67="","No D&amp;B match",IF(L67="","Missing in CRM",IF(L67=M67,"Match","Mismatch")))</f>
        <v>Match</v>
      </c>
      <c r="X67" s="14" t="n">
        <f aca="false">COUNTIF(U67:W67,"&lt;&gt;Match")+IF(T67="past closed",1,0)</f>
        <v>1</v>
      </c>
      <c r="Y67" s="14" t="str">
        <f aca="false">IF(X67=0,"Clean","Review")</f>
        <v>Review</v>
      </c>
    </row>
    <row r="68" customFormat="false" ht="15" hidden="false" customHeight="false" outlineLevel="0" collapsed="false">
      <c r="A68" s="14" t="s">
        <v>376</v>
      </c>
      <c r="B68" s="14" t="s">
        <v>571</v>
      </c>
      <c r="C68" s="14" t="s">
        <v>75</v>
      </c>
      <c r="D68" s="14" t="s">
        <v>32</v>
      </c>
      <c r="E68" s="14" t="s">
        <v>572</v>
      </c>
      <c r="F68" s="14" t="s">
        <v>77</v>
      </c>
      <c r="G68" s="14" t="s">
        <v>380</v>
      </c>
      <c r="H68" s="14" t="s">
        <v>380</v>
      </c>
      <c r="I68" s="14" t="s">
        <v>381</v>
      </c>
      <c r="J68" s="14" t="n">
        <v>5122</v>
      </c>
      <c r="K68" s="14" t="n">
        <v>5122</v>
      </c>
      <c r="L68" s="14" t="n">
        <v>353587990</v>
      </c>
      <c r="M68" s="14" t="n">
        <v>353587990</v>
      </c>
      <c r="N68" s="14" t="s">
        <v>107</v>
      </c>
      <c r="O68" s="15" t="n">
        <v>45610</v>
      </c>
      <c r="P68" s="15" t="n">
        <v>45874</v>
      </c>
      <c r="Q68" s="14" t="s">
        <v>113</v>
      </c>
      <c r="R68" s="16" t="n">
        <v>83500</v>
      </c>
      <c r="S68" s="14" t="n">
        <f aca="false">IF(N68="Closed Won","",P68-ReportDate)</f>
        <v>19</v>
      </c>
      <c r="T68" s="14" t="str">
        <f aca="false">IF(N68="Closed Won","closed",IF(S68&lt;0,"past closed",IF(S68&lt;=10,"update","on track")))</f>
        <v>on track</v>
      </c>
      <c r="U68" s="14" t="str">
        <f aca="false">IF(H68="","No D&amp;B match",IF(TRIM(G68)=TRIM(H68),"Match","Mismatch"))</f>
        <v>Match</v>
      </c>
      <c r="V68" s="14" t="str">
        <f aca="false">IF(K68="","No D&amp;B match",IF(J68="","Missing in CRM",IF(J68=K68,"Match","Mismatch")))</f>
        <v>Match</v>
      </c>
      <c r="W68" s="14" t="str">
        <f aca="false">IF(M68="","No D&amp;B match",IF(L68="","Missing in CRM",IF(L68=M68,"Match","Mismatch")))</f>
        <v>Match</v>
      </c>
      <c r="X68" s="14" t="n">
        <f aca="false">COUNTIF(U68:W68,"&lt;&gt;Match")+IF(T68="past closed",1,0)</f>
        <v>0</v>
      </c>
      <c r="Y68" s="14" t="str">
        <f aca="false">IF(X68=0,"Clean","Review")</f>
        <v>Clean</v>
      </c>
    </row>
    <row r="69" customFormat="false" ht="15" hidden="false" customHeight="false" outlineLevel="0" collapsed="false">
      <c r="A69" s="14" t="s">
        <v>573</v>
      </c>
      <c r="B69" s="14" t="s">
        <v>574</v>
      </c>
      <c r="C69" s="14" t="s">
        <v>59</v>
      </c>
      <c r="D69" s="14" t="s">
        <v>37</v>
      </c>
      <c r="E69" s="14" t="s">
        <v>575</v>
      </c>
      <c r="F69" s="14" t="s">
        <v>237</v>
      </c>
      <c r="G69" s="14" t="s">
        <v>576</v>
      </c>
      <c r="H69" s="14"/>
      <c r="I69" s="14" t="s">
        <v>375</v>
      </c>
      <c r="J69" s="14"/>
      <c r="K69" s="14"/>
      <c r="L69" s="14"/>
      <c r="M69" s="14"/>
      <c r="N69" s="14" t="s">
        <v>224</v>
      </c>
      <c r="O69" s="15" t="n">
        <v>45460</v>
      </c>
      <c r="P69" s="15" t="n">
        <v>45693</v>
      </c>
      <c r="Q69" s="14" t="s">
        <v>85</v>
      </c>
      <c r="R69" s="16" t="n">
        <v>39800</v>
      </c>
      <c r="S69" s="14" t="n">
        <f aca="false">IF(N69="Closed Won","",P69-ReportDate)</f>
        <v>-162</v>
      </c>
      <c r="T69" s="14" t="str">
        <f aca="false">IF(N69="Closed Won","closed",IF(S69&lt;0,"past closed",IF(S69&lt;=10,"update","on track")))</f>
        <v>past closed</v>
      </c>
      <c r="U69" s="14" t="str">
        <f aca="false">IF(H69="","No D&amp;B match",IF(TRIM(G69)=TRIM(H69),"Match","Mismatch"))</f>
        <v>No D&amp;B match</v>
      </c>
      <c r="V69" s="14" t="str">
        <f aca="false">IF(K69="","No D&amp;B match",IF(J69="","Missing in CRM",IF(J69=K69,"Match","Mismatch")))</f>
        <v>No D&amp;B match</v>
      </c>
      <c r="W69" s="14" t="str">
        <f aca="false">IF(M69="","No D&amp;B match",IF(L69="","Missing in CRM",IF(L69=M69,"Match","Mismatch")))</f>
        <v>No D&amp;B match</v>
      </c>
      <c r="X69" s="14" t="n">
        <f aca="false">COUNTIF(U69:W69,"&lt;&gt;Match")+IF(T69="past closed",1,0)</f>
        <v>4</v>
      </c>
      <c r="Y69" s="14" t="str">
        <f aca="false">IF(X69=0,"Clean","Review")</f>
        <v>Review</v>
      </c>
    </row>
    <row r="70" customFormat="false" ht="15" hidden="false" customHeight="false" outlineLevel="0" collapsed="false">
      <c r="A70" s="14" t="s">
        <v>298</v>
      </c>
      <c r="B70" s="14" t="s">
        <v>299</v>
      </c>
      <c r="C70" s="14" t="s">
        <v>67</v>
      </c>
      <c r="D70" s="14" t="s">
        <v>35</v>
      </c>
      <c r="E70" s="14" t="s">
        <v>300</v>
      </c>
      <c r="F70" s="14" t="s">
        <v>69</v>
      </c>
      <c r="G70" s="14" t="s">
        <v>301</v>
      </c>
      <c r="H70" s="14" t="s">
        <v>301</v>
      </c>
      <c r="I70" s="14" t="s">
        <v>382</v>
      </c>
      <c r="J70" s="14" t="n">
        <v>8062</v>
      </c>
      <c r="K70" s="14" t="n">
        <v>6022</v>
      </c>
      <c r="L70" s="14" t="n">
        <v>475690098</v>
      </c>
      <c r="M70" s="14" t="n">
        <v>568512407</v>
      </c>
      <c r="N70" s="14" t="s">
        <v>71</v>
      </c>
      <c r="O70" s="15" t="n">
        <v>45497</v>
      </c>
      <c r="P70" s="15" t="n">
        <v>45581</v>
      </c>
      <c r="Q70" s="14" t="s">
        <v>92</v>
      </c>
      <c r="R70" s="16" t="n">
        <v>264200</v>
      </c>
      <c r="S70" s="14" t="n">
        <f aca="false">IF(N70="Closed Won","",P70-ReportDate)</f>
        <v>-274</v>
      </c>
      <c r="T70" s="14" t="str">
        <f aca="false">IF(N70="Closed Won","closed",IF(S70&lt;0,"past closed",IF(S70&lt;=10,"update","on track")))</f>
        <v>past closed</v>
      </c>
      <c r="U70" s="14" t="str">
        <f aca="false">IF(H70="","No D&amp;B match",IF(TRIM(G70)=TRIM(H70),"Match","Mismatch"))</f>
        <v>Match</v>
      </c>
      <c r="V70" s="14" t="str">
        <f aca="false">IF(K70="","No D&amp;B match",IF(J70="","Missing in CRM",IF(J70=K70,"Match","Mismatch")))</f>
        <v>Mismatch</v>
      </c>
      <c r="W70" s="14" t="str">
        <f aca="false">IF(M70="","No D&amp;B match",IF(L70="","Missing in CRM",IF(L70=M70,"Match","Mismatch")))</f>
        <v>Mismatch</v>
      </c>
      <c r="X70" s="14" t="n">
        <f aca="false">COUNTIF(U70:W70,"&lt;&gt;Match")+IF(T70="past closed",1,0)</f>
        <v>3</v>
      </c>
      <c r="Y70" s="14" t="str">
        <f aca="false">IF(X70=0,"Clean","Review")</f>
        <v>Review</v>
      </c>
    </row>
    <row r="71" customFormat="false" ht="15" hidden="false" customHeight="false" outlineLevel="0" collapsed="false">
      <c r="A71" s="14" t="s">
        <v>148</v>
      </c>
      <c r="B71" s="14" t="s">
        <v>149</v>
      </c>
      <c r="C71" s="14" t="s">
        <v>150</v>
      </c>
      <c r="D71" s="14" t="s">
        <v>36</v>
      </c>
      <c r="E71" s="14" t="s">
        <v>151</v>
      </c>
      <c r="F71" s="14" t="s">
        <v>152</v>
      </c>
      <c r="G71" s="14" t="s">
        <v>153</v>
      </c>
      <c r="H71" s="14" t="s">
        <v>153</v>
      </c>
      <c r="I71" s="14" t="s">
        <v>396</v>
      </c>
      <c r="J71" s="14" t="n">
        <v>7011</v>
      </c>
      <c r="K71" s="14" t="n">
        <v>7011</v>
      </c>
      <c r="L71" s="14" t="n">
        <v>518172416</v>
      </c>
      <c r="M71" s="14" t="n">
        <v>518172416</v>
      </c>
      <c r="N71" s="14" t="s">
        <v>107</v>
      </c>
      <c r="O71" s="15" t="n">
        <v>45548</v>
      </c>
      <c r="P71" s="15" t="n">
        <v>45613</v>
      </c>
      <c r="Q71" s="14" t="s">
        <v>92</v>
      </c>
      <c r="R71" s="16" t="n">
        <v>46200</v>
      </c>
      <c r="S71" s="14" t="n">
        <f aca="false">IF(N71="Closed Won","",P71-ReportDate)</f>
        <v>-242</v>
      </c>
      <c r="T71" s="14" t="str">
        <f aca="false">IF(N71="Closed Won","closed",IF(S71&lt;0,"past closed",IF(S71&lt;=10,"update","on track")))</f>
        <v>past closed</v>
      </c>
      <c r="U71" s="14" t="str">
        <f aca="false">IF(H71="","No D&amp;B match",IF(TRIM(G71)=TRIM(H71),"Match","Mismatch"))</f>
        <v>Match</v>
      </c>
      <c r="V71" s="14" t="str">
        <f aca="false">IF(K71="","No D&amp;B match",IF(J71="","Missing in CRM",IF(J71=K71,"Match","Mismatch")))</f>
        <v>Match</v>
      </c>
      <c r="W71" s="14" t="str">
        <f aca="false">IF(M71="","No D&amp;B match",IF(L71="","Missing in CRM",IF(L71=M71,"Match","Mismatch")))</f>
        <v>Match</v>
      </c>
      <c r="X71" s="14" t="n">
        <f aca="false">COUNTIF(U71:W71,"&lt;&gt;Match")+IF(T71="past closed",1,0)</f>
        <v>1</v>
      </c>
      <c r="Y71" s="14" t="str">
        <f aca="false">IF(X71=0,"Clean","Review")</f>
        <v>Review</v>
      </c>
    </row>
    <row r="72" customFormat="false" ht="15" hidden="false" customHeight="false" outlineLevel="0" collapsed="false">
      <c r="A72" s="14" t="s">
        <v>577</v>
      </c>
      <c r="B72" s="14" t="s">
        <v>578</v>
      </c>
      <c r="C72" s="14" t="s">
        <v>122</v>
      </c>
      <c r="D72" s="14" t="s">
        <v>32</v>
      </c>
      <c r="E72" s="14" t="s">
        <v>579</v>
      </c>
      <c r="F72" s="14" t="s">
        <v>124</v>
      </c>
      <c r="G72" s="14" t="s">
        <v>580</v>
      </c>
      <c r="H72" s="14" t="s">
        <v>580</v>
      </c>
      <c r="I72" s="14" t="s">
        <v>387</v>
      </c>
      <c r="J72" s="14"/>
      <c r="K72" s="14" t="n">
        <v>5511</v>
      </c>
      <c r="L72" s="14"/>
      <c r="M72" s="14" t="n">
        <v>846583106</v>
      </c>
      <c r="N72" s="14" t="s">
        <v>107</v>
      </c>
      <c r="O72" s="15" t="n">
        <v>45387</v>
      </c>
      <c r="P72" s="15" t="n">
        <v>45533</v>
      </c>
      <c r="Q72" s="14" t="s">
        <v>100</v>
      </c>
      <c r="R72" s="16" t="n">
        <v>177500</v>
      </c>
      <c r="S72" s="14" t="n">
        <f aca="false">IF(N72="Closed Won","",P72-ReportDate)</f>
        <v>-322</v>
      </c>
      <c r="T72" s="14" t="str">
        <f aca="false">IF(N72="Closed Won","closed",IF(S72&lt;0,"past closed",IF(S72&lt;=10,"update","on track")))</f>
        <v>past closed</v>
      </c>
      <c r="U72" s="14" t="str">
        <f aca="false">IF(H72="","No D&amp;B match",IF(TRIM(G72)=TRIM(H72),"Match","Mismatch"))</f>
        <v>Match</v>
      </c>
      <c r="V72" s="14" t="str">
        <f aca="false">IF(K72="","No D&amp;B match",IF(J72="","Missing in CRM",IF(J72=K72,"Match","Mismatch")))</f>
        <v>Missing in CRM</v>
      </c>
      <c r="W72" s="14" t="str">
        <f aca="false">IF(M72="","No D&amp;B match",IF(L72="","Missing in CRM",IF(L72=M72,"Match","Mismatch")))</f>
        <v>Missing in CRM</v>
      </c>
      <c r="X72" s="14" t="n">
        <f aca="false">COUNTIF(U72:W72,"&lt;&gt;Match")+IF(T72="past closed",1,0)</f>
        <v>3</v>
      </c>
      <c r="Y72" s="14" t="str">
        <f aca="false">IF(X72=0,"Clean","Review")</f>
        <v>Review</v>
      </c>
    </row>
    <row r="73" customFormat="false" ht="15" hidden="false" customHeight="false" outlineLevel="0" collapsed="false">
      <c r="A73" s="14" t="s">
        <v>581</v>
      </c>
      <c r="B73" s="14" t="s">
        <v>582</v>
      </c>
      <c r="C73" s="14" t="s">
        <v>122</v>
      </c>
      <c r="D73" s="14" t="s">
        <v>32</v>
      </c>
      <c r="E73" s="14" t="s">
        <v>583</v>
      </c>
      <c r="F73" s="14" t="s">
        <v>211</v>
      </c>
      <c r="G73" s="14" t="s">
        <v>584</v>
      </c>
      <c r="H73" s="14" t="s">
        <v>585</v>
      </c>
      <c r="I73" s="14" t="s">
        <v>396</v>
      </c>
      <c r="J73" s="14" t="n">
        <v>7011</v>
      </c>
      <c r="K73" s="14" t="n">
        <v>7011</v>
      </c>
      <c r="L73" s="14" t="n">
        <v>107038196</v>
      </c>
      <c r="M73" s="14" t="n">
        <v>107038196</v>
      </c>
      <c r="N73" s="14" t="s">
        <v>63</v>
      </c>
      <c r="O73" s="15" t="n">
        <v>45329</v>
      </c>
      <c r="P73" s="15" t="n">
        <v>45509</v>
      </c>
      <c r="Q73" s="14" t="s">
        <v>100</v>
      </c>
      <c r="R73" s="16" t="n">
        <v>318200</v>
      </c>
      <c r="S73" s="14" t="n">
        <f aca="false">IF(N73="Closed Won","",P73-ReportDate)</f>
        <v>-346</v>
      </c>
      <c r="T73" s="14" t="str">
        <f aca="false">IF(N73="Closed Won","closed",IF(S73&lt;0,"past closed",IF(S73&lt;=10,"update","on track")))</f>
        <v>past closed</v>
      </c>
      <c r="U73" s="14" t="str">
        <f aca="false">IF(H73="","No D&amp;B match",IF(TRIM(G73)=TRIM(H73),"Match","Mismatch"))</f>
        <v>Mismatch</v>
      </c>
      <c r="V73" s="14" t="str">
        <f aca="false">IF(K73="","No D&amp;B match",IF(J73="","Missing in CRM",IF(J73=K73,"Match","Mismatch")))</f>
        <v>Match</v>
      </c>
      <c r="W73" s="14" t="str">
        <f aca="false">IF(M73="","No D&amp;B match",IF(L73="","Missing in CRM",IF(L73=M73,"Match","Mismatch")))</f>
        <v>Match</v>
      </c>
      <c r="X73" s="14" t="n">
        <f aca="false">COUNTIF(U73:W73,"&lt;&gt;Match")+IF(T73="past closed",1,0)</f>
        <v>2</v>
      </c>
      <c r="Y73" s="14" t="str">
        <f aca="false">IF(X73=0,"Clean","Review")</f>
        <v>Review</v>
      </c>
    </row>
    <row r="74" customFormat="false" ht="15" hidden="false" customHeight="false" outlineLevel="0" collapsed="false">
      <c r="A74" s="14" t="s">
        <v>586</v>
      </c>
      <c r="B74" s="14" t="s">
        <v>587</v>
      </c>
      <c r="C74" s="14" t="s">
        <v>88</v>
      </c>
      <c r="D74" s="14" t="s">
        <v>36</v>
      </c>
      <c r="E74" s="14" t="s">
        <v>588</v>
      </c>
      <c r="F74" s="14" t="s">
        <v>589</v>
      </c>
      <c r="G74" s="14" t="s">
        <v>590</v>
      </c>
      <c r="H74" s="14" t="s">
        <v>591</v>
      </c>
      <c r="I74" s="14" t="s">
        <v>406</v>
      </c>
      <c r="J74" s="14" t="n">
        <v>5961</v>
      </c>
      <c r="K74" s="14" t="n">
        <v>5961</v>
      </c>
      <c r="L74" s="14" t="n">
        <v>814141896</v>
      </c>
      <c r="M74" s="14" t="n">
        <v>814141896</v>
      </c>
      <c r="N74" s="14" t="s">
        <v>63</v>
      </c>
      <c r="O74" s="15" t="n">
        <v>45401</v>
      </c>
      <c r="P74" s="15" t="n">
        <v>45664</v>
      </c>
      <c r="Q74" s="14" t="s">
        <v>85</v>
      </c>
      <c r="R74" s="16" t="n">
        <v>264000</v>
      </c>
      <c r="S74" s="14" t="n">
        <f aca="false">IF(N74="Closed Won","",P74-ReportDate)</f>
        <v>-191</v>
      </c>
      <c r="T74" s="14" t="str">
        <f aca="false">IF(N74="Closed Won","closed",IF(S74&lt;0,"past closed",IF(S74&lt;=10,"update","on track")))</f>
        <v>past closed</v>
      </c>
      <c r="U74" s="14" t="str">
        <f aca="false">IF(H74="","No D&amp;B match",IF(TRIM(G74)=TRIM(H74),"Match","Mismatch"))</f>
        <v>Mismatch</v>
      </c>
      <c r="V74" s="14" t="str">
        <f aca="false">IF(K74="","No D&amp;B match",IF(J74="","Missing in CRM",IF(J74=K74,"Match","Mismatch")))</f>
        <v>Match</v>
      </c>
      <c r="W74" s="14" t="str">
        <f aca="false">IF(M74="","No D&amp;B match",IF(L74="","Missing in CRM",IF(L74=M74,"Match","Mismatch")))</f>
        <v>Match</v>
      </c>
      <c r="X74" s="14" t="n">
        <f aca="false">COUNTIF(U74:W74,"&lt;&gt;Match")+IF(T74="past closed",1,0)</f>
        <v>2</v>
      </c>
      <c r="Y74" s="14" t="str">
        <f aca="false">IF(X74=0,"Clean","Review")</f>
        <v>Review</v>
      </c>
    </row>
    <row r="75" customFormat="false" ht="15" hidden="false" customHeight="false" outlineLevel="0" collapsed="false">
      <c r="A75" s="14" t="s">
        <v>592</v>
      </c>
      <c r="B75" s="14" t="s">
        <v>593</v>
      </c>
      <c r="C75" s="14" t="s">
        <v>75</v>
      </c>
      <c r="D75" s="14" t="s">
        <v>32</v>
      </c>
      <c r="E75" s="14" t="s">
        <v>594</v>
      </c>
      <c r="F75" s="14" t="s">
        <v>344</v>
      </c>
      <c r="G75" s="14" t="s">
        <v>595</v>
      </c>
      <c r="H75" s="14" t="s">
        <v>596</v>
      </c>
      <c r="I75" s="14" t="s">
        <v>382</v>
      </c>
      <c r="J75" s="14" t="n">
        <v>6022</v>
      </c>
      <c r="K75" s="14" t="n">
        <v>6022</v>
      </c>
      <c r="L75" s="14" t="n">
        <v>816377964</v>
      </c>
      <c r="M75" s="14" t="n">
        <v>816377964</v>
      </c>
      <c r="N75" s="14" t="s">
        <v>99</v>
      </c>
      <c r="O75" s="15" t="n">
        <v>45471</v>
      </c>
      <c r="P75" s="15" t="n">
        <v>45571</v>
      </c>
      <c r="Q75" s="14" t="s">
        <v>92</v>
      </c>
      <c r="R75" s="16" t="n">
        <v>38400</v>
      </c>
      <c r="S75" s="14" t="str">
        <f aca="false">IF(N75="Closed Won","",P75-ReportDate)</f>
        <v/>
      </c>
      <c r="T75" s="14" t="str">
        <f aca="false">IF(N75="Closed Won","closed",IF(S75&lt;0,"past closed",IF(S75&lt;=10,"update","on track")))</f>
        <v>closed</v>
      </c>
      <c r="U75" s="14" t="str">
        <f aca="false">IF(H75="","No D&amp;B match",IF(TRIM(G75)=TRIM(H75),"Match","Mismatch"))</f>
        <v>Mismatch</v>
      </c>
      <c r="V75" s="14" t="str">
        <f aca="false">IF(K75="","No D&amp;B match",IF(J75="","Missing in CRM",IF(J75=K75,"Match","Mismatch")))</f>
        <v>Match</v>
      </c>
      <c r="W75" s="14" t="str">
        <f aca="false">IF(M75="","No D&amp;B match",IF(L75="","Missing in CRM",IF(L75=M75,"Match","Mismatch")))</f>
        <v>Match</v>
      </c>
      <c r="X75" s="14" t="n">
        <f aca="false">COUNTIF(U75:W75,"&lt;&gt;Match")+IF(T75="past closed",1,0)</f>
        <v>1</v>
      </c>
      <c r="Y75" s="14" t="str">
        <f aca="false">IF(X75=0,"Clean","Review")</f>
        <v>Review</v>
      </c>
    </row>
    <row r="76" customFormat="false" ht="15" hidden="false" customHeight="false" outlineLevel="0" collapsed="false">
      <c r="A76" s="14" t="s">
        <v>597</v>
      </c>
      <c r="B76" s="14" t="s">
        <v>598</v>
      </c>
      <c r="C76" s="14" t="s">
        <v>103</v>
      </c>
      <c r="D76" s="14" t="s">
        <v>32</v>
      </c>
      <c r="E76" s="14" t="s">
        <v>599</v>
      </c>
      <c r="F76" s="14" t="s">
        <v>134</v>
      </c>
      <c r="G76" s="14" t="s">
        <v>600</v>
      </c>
      <c r="H76" s="14" t="s">
        <v>600</v>
      </c>
      <c r="I76" s="14" t="s">
        <v>396</v>
      </c>
      <c r="J76" s="14" t="n">
        <v>7011</v>
      </c>
      <c r="K76" s="14" t="n">
        <v>7011</v>
      </c>
      <c r="L76" s="14" t="n">
        <v>752575018</v>
      </c>
      <c r="M76" s="14" t="n">
        <v>752575018</v>
      </c>
      <c r="N76" s="14" t="s">
        <v>99</v>
      </c>
      <c r="O76" s="15" t="n">
        <v>45800</v>
      </c>
      <c r="P76" s="15" t="n">
        <v>45848</v>
      </c>
      <c r="Q76" s="14" t="s">
        <v>113</v>
      </c>
      <c r="R76" s="16" t="n">
        <v>90000</v>
      </c>
      <c r="S76" s="14" t="str">
        <f aca="false">IF(N76="Closed Won","",P76-ReportDate)</f>
        <v/>
      </c>
      <c r="T76" s="14" t="str">
        <f aca="false">IF(N76="Closed Won","closed",IF(S76&lt;0,"past closed",IF(S76&lt;=10,"update","on track")))</f>
        <v>closed</v>
      </c>
      <c r="U76" s="14" t="str">
        <f aca="false">IF(H76="","No D&amp;B match",IF(TRIM(G76)=TRIM(H76),"Match","Mismatch"))</f>
        <v>Match</v>
      </c>
      <c r="V76" s="14" t="str">
        <f aca="false">IF(K76="","No D&amp;B match",IF(J76="","Missing in CRM",IF(J76=K76,"Match","Mismatch")))</f>
        <v>Match</v>
      </c>
      <c r="W76" s="14" t="str">
        <f aca="false">IF(M76="","No D&amp;B match",IF(L76="","Missing in CRM",IF(L76=M76,"Match","Mismatch")))</f>
        <v>Match</v>
      </c>
      <c r="X76" s="14" t="n">
        <f aca="false">COUNTIF(U76:W76,"&lt;&gt;Match")+IF(T76="past closed",1,0)</f>
        <v>0</v>
      </c>
      <c r="Y76" s="14" t="str">
        <f aca="false">IF(X76=0,"Clean","Review")</f>
        <v>Clean</v>
      </c>
    </row>
    <row r="77" customFormat="false" ht="15" hidden="false" customHeight="false" outlineLevel="0" collapsed="false">
      <c r="A77" s="14" t="s">
        <v>601</v>
      </c>
      <c r="B77" s="14" t="s">
        <v>602</v>
      </c>
      <c r="C77" s="14" t="s">
        <v>103</v>
      </c>
      <c r="D77" s="14" t="s">
        <v>32</v>
      </c>
      <c r="E77" s="14" t="s">
        <v>603</v>
      </c>
      <c r="F77" s="14" t="s">
        <v>211</v>
      </c>
      <c r="G77" s="14" t="s">
        <v>604</v>
      </c>
      <c r="H77" s="14" t="s">
        <v>604</v>
      </c>
      <c r="I77" s="14" t="s">
        <v>375</v>
      </c>
      <c r="J77" s="14" t="n">
        <v>4841</v>
      </c>
      <c r="K77" s="14" t="n">
        <v>4841</v>
      </c>
      <c r="L77" s="14" t="n">
        <v>566350899</v>
      </c>
      <c r="M77" s="14" t="n">
        <v>566350899</v>
      </c>
      <c r="N77" s="14" t="s">
        <v>107</v>
      </c>
      <c r="O77" s="15" t="n">
        <v>45561</v>
      </c>
      <c r="P77" s="15" t="n">
        <v>45855</v>
      </c>
      <c r="Q77" s="14" t="s">
        <v>113</v>
      </c>
      <c r="R77" s="16" t="n">
        <v>81200</v>
      </c>
      <c r="S77" s="14" t="n">
        <f aca="false">IF(N77="Closed Won","",P77-ReportDate)</f>
        <v>0</v>
      </c>
      <c r="T77" s="14" t="str">
        <f aca="false">IF(N77="Closed Won","closed",IF(S77&lt;0,"past closed",IF(S77&lt;=10,"update","on track")))</f>
        <v>update</v>
      </c>
      <c r="U77" s="14" t="str">
        <f aca="false">IF(H77="","No D&amp;B match",IF(TRIM(G77)=TRIM(H77),"Match","Mismatch"))</f>
        <v>Match</v>
      </c>
      <c r="V77" s="14" t="str">
        <f aca="false">IF(K77="","No D&amp;B match",IF(J77="","Missing in CRM",IF(J77=K77,"Match","Mismatch")))</f>
        <v>Match</v>
      </c>
      <c r="W77" s="14" t="str">
        <f aca="false">IF(M77="","No D&amp;B match",IF(L77="","Missing in CRM",IF(L77=M77,"Match","Mismatch")))</f>
        <v>Match</v>
      </c>
      <c r="X77" s="14" t="n">
        <f aca="false">COUNTIF(U77:W77,"&lt;&gt;Match")+IF(T77="past closed",1,0)</f>
        <v>0</v>
      </c>
      <c r="Y77" s="14" t="str">
        <f aca="false">IF(X77=0,"Clean","Review")</f>
        <v>Clean</v>
      </c>
    </row>
    <row r="78" customFormat="false" ht="15" hidden="false" customHeight="false" outlineLevel="0" collapsed="false">
      <c r="A78" s="14" t="s">
        <v>65</v>
      </c>
      <c r="B78" s="14" t="s">
        <v>66</v>
      </c>
      <c r="C78" s="14" t="s">
        <v>67</v>
      </c>
      <c r="D78" s="14" t="s">
        <v>35</v>
      </c>
      <c r="E78" s="14" t="s">
        <v>68</v>
      </c>
      <c r="F78" s="14" t="s">
        <v>69</v>
      </c>
      <c r="G78" s="14" t="s">
        <v>70</v>
      </c>
      <c r="H78" s="14" t="s">
        <v>70</v>
      </c>
      <c r="I78" s="14" t="s">
        <v>468</v>
      </c>
      <c r="J78" s="14" t="n">
        <v>8062</v>
      </c>
      <c r="K78" s="14" t="n">
        <v>8062</v>
      </c>
      <c r="L78" s="14" t="n">
        <v>885543123</v>
      </c>
      <c r="M78" s="14" t="n">
        <v>885543123</v>
      </c>
      <c r="N78" s="14" t="s">
        <v>71</v>
      </c>
      <c r="O78" s="15" t="n">
        <v>45800</v>
      </c>
      <c r="P78" s="15" t="n">
        <v>45957</v>
      </c>
      <c r="Q78" s="14" t="s">
        <v>72</v>
      </c>
      <c r="R78" s="16" t="n">
        <v>21200</v>
      </c>
      <c r="S78" s="14" t="n">
        <f aca="false">IF(N78="Closed Won","",P78-ReportDate)</f>
        <v>102</v>
      </c>
      <c r="T78" s="14" t="str">
        <f aca="false">IF(N78="Closed Won","closed",IF(S78&lt;0,"past closed",IF(S78&lt;=10,"update","on track")))</f>
        <v>on track</v>
      </c>
      <c r="U78" s="14" t="str">
        <f aca="false">IF(H78="","No D&amp;B match",IF(TRIM(G78)=TRIM(H78),"Match","Mismatch"))</f>
        <v>Match</v>
      </c>
      <c r="V78" s="14" t="str">
        <f aca="false">IF(K78="","No D&amp;B match",IF(J78="","Missing in CRM",IF(J78=K78,"Match","Mismatch")))</f>
        <v>Match</v>
      </c>
      <c r="W78" s="14" t="str">
        <f aca="false">IF(M78="","No D&amp;B match",IF(L78="","Missing in CRM",IF(L78=M78,"Match","Mismatch")))</f>
        <v>Match</v>
      </c>
      <c r="X78" s="14" t="n">
        <f aca="false">COUNTIF(U78:W78,"&lt;&gt;Match")+IF(T78="past closed",1,0)</f>
        <v>0</v>
      </c>
      <c r="Y78" s="14" t="str">
        <f aca="false">IF(X78=0,"Clean","Review")</f>
        <v>Clean</v>
      </c>
    </row>
    <row r="79" customFormat="false" ht="15" hidden="false" customHeight="false" outlineLevel="0" collapsed="false">
      <c r="A79" s="14" t="s">
        <v>605</v>
      </c>
      <c r="B79" s="14" t="s">
        <v>606</v>
      </c>
      <c r="C79" s="14" t="s">
        <v>116</v>
      </c>
      <c r="D79" s="14" t="s">
        <v>33</v>
      </c>
      <c r="E79" s="14" t="s">
        <v>607</v>
      </c>
      <c r="F79" s="14" t="s">
        <v>118</v>
      </c>
      <c r="G79" s="14" t="s">
        <v>608</v>
      </c>
      <c r="H79" s="14" t="s">
        <v>609</v>
      </c>
      <c r="I79" s="14" t="s">
        <v>387</v>
      </c>
      <c r="J79" s="14" t="n">
        <v>5511</v>
      </c>
      <c r="K79" s="14" t="n">
        <v>5511</v>
      </c>
      <c r="L79" s="14" t="n">
        <v>706084646</v>
      </c>
      <c r="M79" s="14" t="n">
        <v>706084646</v>
      </c>
      <c r="N79" s="14" t="s">
        <v>63</v>
      </c>
      <c r="O79" s="15" t="n">
        <v>45397</v>
      </c>
      <c r="P79" s="15" t="n">
        <v>45457</v>
      </c>
      <c r="Q79" s="14" t="s">
        <v>64</v>
      </c>
      <c r="R79" s="16" t="n">
        <v>27400</v>
      </c>
      <c r="S79" s="14" t="n">
        <f aca="false">IF(N79="Closed Won","",P79-ReportDate)</f>
        <v>-398</v>
      </c>
      <c r="T79" s="14" t="str">
        <f aca="false">IF(N79="Closed Won","closed",IF(S79&lt;0,"past closed",IF(S79&lt;=10,"update","on track")))</f>
        <v>past closed</v>
      </c>
      <c r="U79" s="14" t="str">
        <f aca="false">IF(H79="","No D&amp;B match",IF(TRIM(G79)=TRIM(H79),"Match","Mismatch"))</f>
        <v>Mismatch</v>
      </c>
      <c r="V79" s="14" t="str">
        <f aca="false">IF(K79="","No D&amp;B match",IF(J79="","Missing in CRM",IF(J79=K79,"Match","Mismatch")))</f>
        <v>Match</v>
      </c>
      <c r="W79" s="14" t="str">
        <f aca="false">IF(M79="","No D&amp;B match",IF(L79="","Missing in CRM",IF(L79=M79,"Match","Mismatch")))</f>
        <v>Match</v>
      </c>
      <c r="X79" s="14" t="n">
        <f aca="false">COUNTIF(U79:W79,"&lt;&gt;Match")+IF(T79="past closed",1,0)</f>
        <v>2</v>
      </c>
      <c r="Y79" s="14" t="str">
        <f aca="false">IF(X79=0,"Clean","Review")</f>
        <v>Review</v>
      </c>
    </row>
    <row r="80" customFormat="false" ht="15" hidden="false" customHeight="false" outlineLevel="0" collapsed="false">
      <c r="A80" s="14" t="s">
        <v>610</v>
      </c>
      <c r="B80" s="14" t="s">
        <v>611</v>
      </c>
      <c r="C80" s="14" t="s">
        <v>291</v>
      </c>
      <c r="D80" s="14" t="s">
        <v>32</v>
      </c>
      <c r="E80" s="14" t="s">
        <v>612</v>
      </c>
      <c r="F80" s="14" t="s">
        <v>77</v>
      </c>
      <c r="G80" s="14" t="s">
        <v>613</v>
      </c>
      <c r="H80" s="14" t="s">
        <v>613</v>
      </c>
      <c r="I80" s="14" t="s">
        <v>382</v>
      </c>
      <c r="J80" s="14" t="n">
        <v>6022</v>
      </c>
      <c r="K80" s="14" t="n">
        <v>6022</v>
      </c>
      <c r="L80" s="14" t="n">
        <v>936151348</v>
      </c>
      <c r="M80" s="14" t="n">
        <v>936151348</v>
      </c>
      <c r="N80" s="14" t="s">
        <v>107</v>
      </c>
      <c r="O80" s="15" t="n">
        <v>45335</v>
      </c>
      <c r="P80" s="15" t="n">
        <v>45480</v>
      </c>
      <c r="Q80" s="14" t="s">
        <v>100</v>
      </c>
      <c r="R80" s="16" t="n">
        <v>84500</v>
      </c>
      <c r="S80" s="14" t="n">
        <f aca="false">IF(N80="Closed Won","",P80-ReportDate)</f>
        <v>-375</v>
      </c>
      <c r="T80" s="14" t="str">
        <f aca="false">IF(N80="Closed Won","closed",IF(S80&lt;0,"past closed",IF(S80&lt;=10,"update","on track")))</f>
        <v>past closed</v>
      </c>
      <c r="U80" s="14" t="str">
        <f aca="false">IF(H80="","No D&amp;B match",IF(TRIM(G80)=TRIM(H80),"Match","Mismatch"))</f>
        <v>Match</v>
      </c>
      <c r="V80" s="14" t="str">
        <f aca="false">IF(K80="","No D&amp;B match",IF(J80="","Missing in CRM",IF(J80=K80,"Match","Mismatch")))</f>
        <v>Match</v>
      </c>
      <c r="W80" s="14" t="str">
        <f aca="false">IF(M80="","No D&amp;B match",IF(L80="","Missing in CRM",IF(L80=M80,"Match","Mismatch")))</f>
        <v>Match</v>
      </c>
      <c r="X80" s="14" t="n">
        <f aca="false">COUNTIF(U80:W80,"&lt;&gt;Match")+IF(T80="past closed",1,0)</f>
        <v>1</v>
      </c>
      <c r="Y80" s="14" t="str">
        <f aca="false">IF(X80=0,"Clean","Review")</f>
        <v>Review</v>
      </c>
    </row>
    <row r="81" customFormat="false" ht="15" hidden="false" customHeight="false" outlineLevel="0" collapsed="false">
      <c r="A81" s="14" t="s">
        <v>614</v>
      </c>
      <c r="B81" s="14" t="s">
        <v>615</v>
      </c>
      <c r="C81" s="14" t="s">
        <v>144</v>
      </c>
      <c r="D81" s="14" t="s">
        <v>34</v>
      </c>
      <c r="E81" s="14" t="s">
        <v>616</v>
      </c>
      <c r="F81" s="14" t="s">
        <v>193</v>
      </c>
      <c r="G81" s="14" t="s">
        <v>617</v>
      </c>
      <c r="H81" s="14" t="s">
        <v>617</v>
      </c>
      <c r="I81" s="14" t="s">
        <v>419</v>
      </c>
      <c r="J81" s="14" t="n">
        <v>5999</v>
      </c>
      <c r="K81" s="14" t="n">
        <v>5999</v>
      </c>
      <c r="L81" s="14" t="n">
        <v>977470354</v>
      </c>
      <c r="M81" s="14" t="n">
        <v>977470354</v>
      </c>
      <c r="N81" s="14" t="s">
        <v>63</v>
      </c>
      <c r="O81" s="15" t="n">
        <v>45456</v>
      </c>
      <c r="P81" s="15" t="n">
        <v>45576</v>
      </c>
      <c r="Q81" s="14" t="s">
        <v>92</v>
      </c>
      <c r="R81" s="16" t="n">
        <v>241600</v>
      </c>
      <c r="S81" s="14" t="n">
        <f aca="false">IF(N81="Closed Won","",P81-ReportDate)</f>
        <v>-279</v>
      </c>
      <c r="T81" s="14" t="str">
        <f aca="false">IF(N81="Closed Won","closed",IF(S81&lt;0,"past closed",IF(S81&lt;=10,"update","on track")))</f>
        <v>past closed</v>
      </c>
      <c r="U81" s="14" t="str">
        <f aca="false">IF(H81="","No D&amp;B match",IF(TRIM(G81)=TRIM(H81),"Match","Mismatch"))</f>
        <v>Match</v>
      </c>
      <c r="V81" s="14" t="str">
        <f aca="false">IF(K81="","No D&amp;B match",IF(J81="","Missing in CRM",IF(J81=K81,"Match","Mismatch")))</f>
        <v>Match</v>
      </c>
      <c r="W81" s="14" t="str">
        <f aca="false">IF(M81="","No D&amp;B match",IF(L81="","Missing in CRM",IF(L81=M81,"Match","Mismatch")))</f>
        <v>Match</v>
      </c>
      <c r="X81" s="14" t="n">
        <f aca="false">COUNTIF(U81:W81,"&lt;&gt;Match")+IF(T81="past closed",1,0)</f>
        <v>1</v>
      </c>
      <c r="Y81" s="14" t="str">
        <f aca="false">IF(X81=0,"Clean","Review")</f>
        <v>Review</v>
      </c>
    </row>
    <row r="82" customFormat="false" ht="15" hidden="false" customHeight="false" outlineLevel="0" collapsed="false">
      <c r="A82" s="14" t="s">
        <v>618</v>
      </c>
      <c r="B82" s="14" t="s">
        <v>619</v>
      </c>
      <c r="C82" s="14" t="s">
        <v>286</v>
      </c>
      <c r="D82" s="14" t="s">
        <v>34</v>
      </c>
      <c r="E82" s="14" t="s">
        <v>620</v>
      </c>
      <c r="F82" s="14" t="s">
        <v>278</v>
      </c>
      <c r="G82" s="14" t="s">
        <v>621</v>
      </c>
      <c r="H82" s="14" t="s">
        <v>621</v>
      </c>
      <c r="I82" s="14" t="s">
        <v>375</v>
      </c>
      <c r="J82" s="14" t="n">
        <v>5999</v>
      </c>
      <c r="K82" s="14" t="n">
        <v>4841</v>
      </c>
      <c r="L82" s="14" t="n">
        <v>366072216</v>
      </c>
      <c r="M82" s="14" t="n">
        <v>826326463</v>
      </c>
      <c r="N82" s="14" t="s">
        <v>178</v>
      </c>
      <c r="O82" s="15" t="n">
        <v>45782</v>
      </c>
      <c r="P82" s="15" t="n">
        <v>45893</v>
      </c>
      <c r="Q82" s="14" t="s">
        <v>113</v>
      </c>
      <c r="R82" s="16" t="n">
        <v>247800</v>
      </c>
      <c r="S82" s="14" t="n">
        <f aca="false">IF(N82="Closed Won","",P82-ReportDate)</f>
        <v>38</v>
      </c>
      <c r="T82" s="14" t="str">
        <f aca="false">IF(N82="Closed Won","closed",IF(S82&lt;0,"past closed",IF(S82&lt;=10,"update","on track")))</f>
        <v>on track</v>
      </c>
      <c r="U82" s="14" t="str">
        <f aca="false">IF(H82="","No D&amp;B match",IF(TRIM(G82)=TRIM(H82),"Match","Mismatch"))</f>
        <v>Match</v>
      </c>
      <c r="V82" s="14" t="str">
        <f aca="false">IF(K82="","No D&amp;B match",IF(J82="","Missing in CRM",IF(J82=K82,"Match","Mismatch")))</f>
        <v>Mismatch</v>
      </c>
      <c r="W82" s="14" t="str">
        <f aca="false">IF(M82="","No D&amp;B match",IF(L82="","Missing in CRM",IF(L82=M82,"Match","Mismatch")))</f>
        <v>Mismatch</v>
      </c>
      <c r="X82" s="14" t="n">
        <f aca="false">COUNTIF(U82:W82,"&lt;&gt;Match")+IF(T82="past closed",1,0)</f>
        <v>2</v>
      </c>
      <c r="Y82" s="14" t="str">
        <f aca="false">IF(X82=0,"Clean","Review")</f>
        <v>Review</v>
      </c>
    </row>
    <row r="83" customFormat="false" ht="15" hidden="false" customHeight="false" outlineLevel="0" collapsed="false">
      <c r="A83" s="14" t="s">
        <v>622</v>
      </c>
      <c r="B83" s="14" t="s">
        <v>623</v>
      </c>
      <c r="C83" s="14" t="s">
        <v>360</v>
      </c>
      <c r="D83" s="14" t="s">
        <v>33</v>
      </c>
      <c r="E83" s="14" t="s">
        <v>624</v>
      </c>
      <c r="F83" s="14" t="s">
        <v>222</v>
      </c>
      <c r="G83" s="14" t="s">
        <v>625</v>
      </c>
      <c r="H83" s="14" t="s">
        <v>625</v>
      </c>
      <c r="I83" s="14" t="s">
        <v>406</v>
      </c>
      <c r="J83" s="14" t="n">
        <v>5511</v>
      </c>
      <c r="K83" s="14" t="n">
        <v>5961</v>
      </c>
      <c r="L83" s="14" t="n">
        <v>975162693</v>
      </c>
      <c r="M83" s="14" t="n">
        <v>369213329</v>
      </c>
      <c r="N83" s="14" t="s">
        <v>178</v>
      </c>
      <c r="O83" s="15" t="n">
        <v>45433</v>
      </c>
      <c r="P83" s="15" t="n">
        <v>45589</v>
      </c>
      <c r="Q83" s="14" t="s">
        <v>92</v>
      </c>
      <c r="R83" s="16" t="n">
        <v>226400</v>
      </c>
      <c r="S83" s="14" t="n">
        <f aca="false">IF(N83="Closed Won","",P83-ReportDate)</f>
        <v>-266</v>
      </c>
      <c r="T83" s="14" t="str">
        <f aca="false">IF(N83="Closed Won","closed",IF(S83&lt;0,"past closed",IF(S83&lt;=10,"update","on track")))</f>
        <v>past closed</v>
      </c>
      <c r="U83" s="14" t="str">
        <f aca="false">IF(H83="","No D&amp;B match",IF(TRIM(G83)=TRIM(H83),"Match","Mismatch"))</f>
        <v>Match</v>
      </c>
      <c r="V83" s="14" t="str">
        <f aca="false">IF(K83="","No D&amp;B match",IF(J83="","Missing in CRM",IF(J83=K83,"Match","Mismatch")))</f>
        <v>Mismatch</v>
      </c>
      <c r="W83" s="14" t="str">
        <f aca="false">IF(M83="","No D&amp;B match",IF(L83="","Missing in CRM",IF(L83=M83,"Match","Mismatch")))</f>
        <v>Mismatch</v>
      </c>
      <c r="X83" s="14" t="n">
        <f aca="false">COUNTIF(U83:W83,"&lt;&gt;Match")+IF(T83="past closed",1,0)</f>
        <v>3</v>
      </c>
      <c r="Y83" s="14" t="str">
        <f aca="false">IF(X83=0,"Clean","Review")</f>
        <v>Review</v>
      </c>
    </row>
    <row r="84" customFormat="false" ht="15" hidden="false" customHeight="false" outlineLevel="0" collapsed="false">
      <c r="A84" s="14" t="s">
        <v>195</v>
      </c>
      <c r="B84" s="14" t="s">
        <v>626</v>
      </c>
      <c r="C84" s="14" t="s">
        <v>191</v>
      </c>
      <c r="D84" s="14" t="s">
        <v>34</v>
      </c>
      <c r="E84" s="14" t="s">
        <v>627</v>
      </c>
      <c r="F84" s="14" t="s">
        <v>326</v>
      </c>
      <c r="G84" s="14" t="s">
        <v>198</v>
      </c>
      <c r="H84" s="14" t="s">
        <v>198</v>
      </c>
      <c r="I84" s="14" t="s">
        <v>375</v>
      </c>
      <c r="J84" s="14" t="n">
        <v>4841</v>
      </c>
      <c r="K84" s="14" t="n">
        <v>4841</v>
      </c>
      <c r="L84" s="14" t="n">
        <v>343350125</v>
      </c>
      <c r="M84" s="14" t="n">
        <v>343350125</v>
      </c>
      <c r="N84" s="14" t="s">
        <v>107</v>
      </c>
      <c r="O84" s="15" t="n">
        <v>45449</v>
      </c>
      <c r="P84" s="15" t="n">
        <v>45669</v>
      </c>
      <c r="Q84" s="14" t="s">
        <v>85</v>
      </c>
      <c r="R84" s="16" t="n">
        <v>40300</v>
      </c>
      <c r="S84" s="14" t="n">
        <f aca="false">IF(N84="Closed Won","",P84-ReportDate)</f>
        <v>-186</v>
      </c>
      <c r="T84" s="14" t="str">
        <f aca="false">IF(N84="Closed Won","closed",IF(S84&lt;0,"past closed",IF(S84&lt;=10,"update","on track")))</f>
        <v>past closed</v>
      </c>
      <c r="U84" s="14" t="str">
        <f aca="false">IF(H84="","No D&amp;B match",IF(TRIM(G84)=TRIM(H84),"Match","Mismatch"))</f>
        <v>Match</v>
      </c>
      <c r="V84" s="14" t="str">
        <f aca="false">IF(K84="","No D&amp;B match",IF(J84="","Missing in CRM",IF(J84=K84,"Match","Mismatch")))</f>
        <v>Match</v>
      </c>
      <c r="W84" s="14" t="str">
        <f aca="false">IF(M84="","No D&amp;B match",IF(L84="","Missing in CRM",IF(L84=M84,"Match","Mismatch")))</f>
        <v>Match</v>
      </c>
      <c r="X84" s="14" t="n">
        <f aca="false">COUNTIF(U84:W84,"&lt;&gt;Match")+IF(T84="past closed",1,0)</f>
        <v>1</v>
      </c>
      <c r="Y84" s="14" t="str">
        <f aca="false">IF(X84=0,"Clean","Review")</f>
        <v>Review</v>
      </c>
    </row>
    <row r="85" customFormat="false" ht="15" hidden="false" customHeight="false" outlineLevel="0" collapsed="false">
      <c r="A85" s="14" t="s">
        <v>628</v>
      </c>
      <c r="B85" s="14" t="s">
        <v>629</v>
      </c>
      <c r="C85" s="14" t="s">
        <v>330</v>
      </c>
      <c r="D85" s="14" t="s">
        <v>33</v>
      </c>
      <c r="E85" s="14" t="s">
        <v>630</v>
      </c>
      <c r="F85" s="14" t="s">
        <v>432</v>
      </c>
      <c r="G85" s="14" t="s">
        <v>631</v>
      </c>
      <c r="H85" s="14" t="s">
        <v>631</v>
      </c>
      <c r="I85" s="14" t="s">
        <v>419</v>
      </c>
      <c r="J85" s="14"/>
      <c r="K85" s="14" t="n">
        <v>5999</v>
      </c>
      <c r="L85" s="14"/>
      <c r="M85" s="14" t="n">
        <v>187547571</v>
      </c>
      <c r="N85" s="14" t="s">
        <v>63</v>
      </c>
      <c r="O85" s="15" t="n">
        <v>45582</v>
      </c>
      <c r="P85" s="15" t="n">
        <v>45737</v>
      </c>
      <c r="Q85" s="14" t="s">
        <v>85</v>
      </c>
      <c r="R85" s="16" t="n">
        <v>258800</v>
      </c>
      <c r="S85" s="14" t="n">
        <f aca="false">IF(N85="Closed Won","",P85-ReportDate)</f>
        <v>-118</v>
      </c>
      <c r="T85" s="14" t="str">
        <f aca="false">IF(N85="Closed Won","closed",IF(S85&lt;0,"past closed",IF(S85&lt;=10,"update","on track")))</f>
        <v>past closed</v>
      </c>
      <c r="U85" s="14" t="str">
        <f aca="false">IF(H85="","No D&amp;B match",IF(TRIM(G85)=TRIM(H85),"Match","Mismatch"))</f>
        <v>Match</v>
      </c>
      <c r="V85" s="14" t="str">
        <f aca="false">IF(K85="","No D&amp;B match",IF(J85="","Missing in CRM",IF(J85=K85,"Match","Mismatch")))</f>
        <v>Missing in CRM</v>
      </c>
      <c r="W85" s="14" t="str">
        <f aca="false">IF(M85="","No D&amp;B match",IF(L85="","Missing in CRM",IF(L85=M85,"Match","Mismatch")))</f>
        <v>Missing in CRM</v>
      </c>
      <c r="X85" s="14" t="n">
        <f aca="false">COUNTIF(U85:W85,"&lt;&gt;Match")+IF(T85="past closed",1,0)</f>
        <v>3</v>
      </c>
      <c r="Y85" s="14" t="str">
        <f aca="false">IF(X85=0,"Clean","Review")</f>
        <v>Review</v>
      </c>
    </row>
    <row r="86" customFormat="false" ht="15" hidden="false" customHeight="false" outlineLevel="0" collapsed="false">
      <c r="A86" s="14" t="s">
        <v>632</v>
      </c>
      <c r="B86" s="14" t="s">
        <v>633</v>
      </c>
      <c r="C86" s="14" t="s">
        <v>483</v>
      </c>
      <c r="D86" s="14" t="s">
        <v>34</v>
      </c>
      <c r="E86" s="14" t="s">
        <v>634</v>
      </c>
      <c r="F86" s="14" t="s">
        <v>326</v>
      </c>
      <c r="G86" s="14" t="s">
        <v>635</v>
      </c>
      <c r="H86" s="14" t="s">
        <v>635</v>
      </c>
      <c r="I86" s="14" t="s">
        <v>468</v>
      </c>
      <c r="J86" s="14" t="n">
        <v>8062</v>
      </c>
      <c r="K86" s="14" t="n">
        <v>8062</v>
      </c>
      <c r="L86" s="14" t="n">
        <v>455611371</v>
      </c>
      <c r="M86" s="14" t="n">
        <v>455611371</v>
      </c>
      <c r="N86" s="14" t="s">
        <v>99</v>
      </c>
      <c r="O86" s="15" t="n">
        <v>45679</v>
      </c>
      <c r="P86" s="15" t="n">
        <v>45745</v>
      </c>
      <c r="Q86" s="14" t="s">
        <v>85</v>
      </c>
      <c r="R86" s="16" t="n">
        <v>66700</v>
      </c>
      <c r="S86" s="14" t="str">
        <f aca="false">IF(N86="Closed Won","",P86-ReportDate)</f>
        <v/>
      </c>
      <c r="T86" s="14" t="str">
        <f aca="false">IF(N86="Closed Won","closed",IF(S86&lt;0,"past closed",IF(S86&lt;=10,"update","on track")))</f>
        <v>closed</v>
      </c>
      <c r="U86" s="14" t="str">
        <f aca="false">IF(H86="","No D&amp;B match",IF(TRIM(G86)=TRIM(H86),"Match","Mismatch"))</f>
        <v>Match</v>
      </c>
      <c r="V86" s="14" t="str">
        <f aca="false">IF(K86="","No D&amp;B match",IF(J86="","Missing in CRM",IF(J86=K86,"Match","Mismatch")))</f>
        <v>Match</v>
      </c>
      <c r="W86" s="14" t="str">
        <f aca="false">IF(M86="","No D&amp;B match",IF(L86="","Missing in CRM",IF(L86=M86,"Match","Mismatch")))</f>
        <v>Match</v>
      </c>
      <c r="X86" s="14" t="n">
        <f aca="false">COUNTIF(U86:W86,"&lt;&gt;Match")+IF(T86="past closed",1,0)</f>
        <v>0</v>
      </c>
      <c r="Y86" s="14" t="str">
        <f aca="false">IF(X86=0,"Clean","Review")</f>
        <v>Clean</v>
      </c>
    </row>
    <row r="87" customFormat="false" ht="15" hidden="false" customHeight="false" outlineLevel="0" collapsed="false">
      <c r="A87" s="14" t="s">
        <v>636</v>
      </c>
      <c r="B87" s="14" t="s">
        <v>637</v>
      </c>
      <c r="C87" s="14" t="s">
        <v>67</v>
      </c>
      <c r="D87" s="14" t="s">
        <v>35</v>
      </c>
      <c r="E87" s="14" t="s">
        <v>638</v>
      </c>
      <c r="F87" s="14" t="s">
        <v>111</v>
      </c>
      <c r="G87" s="14" t="s">
        <v>639</v>
      </c>
      <c r="H87" s="14" t="s">
        <v>639</v>
      </c>
      <c r="I87" s="14" t="s">
        <v>381</v>
      </c>
      <c r="J87" s="14" t="n">
        <v>5122</v>
      </c>
      <c r="K87" s="14" t="n">
        <v>5122</v>
      </c>
      <c r="L87" s="14" t="n">
        <v>108381397</v>
      </c>
      <c r="M87" s="14" t="n">
        <v>108381397</v>
      </c>
      <c r="N87" s="14" t="s">
        <v>107</v>
      </c>
      <c r="O87" s="15" t="n">
        <v>45515</v>
      </c>
      <c r="P87" s="15" t="n">
        <v>45768</v>
      </c>
      <c r="Q87" s="14" t="s">
        <v>203</v>
      </c>
      <c r="R87" s="16" t="n">
        <v>462500</v>
      </c>
      <c r="S87" s="14" t="n">
        <f aca="false">IF(N87="Closed Won","",P87-ReportDate)</f>
        <v>-87</v>
      </c>
      <c r="T87" s="14" t="str">
        <f aca="false">IF(N87="Closed Won","closed",IF(S87&lt;0,"past closed",IF(S87&lt;=10,"update","on track")))</f>
        <v>past closed</v>
      </c>
      <c r="U87" s="14" t="str">
        <f aca="false">IF(H87="","No D&amp;B match",IF(TRIM(G87)=TRIM(H87),"Match","Mismatch"))</f>
        <v>Match</v>
      </c>
      <c r="V87" s="14" t="str">
        <f aca="false">IF(K87="","No D&amp;B match",IF(J87="","Missing in CRM",IF(J87=K87,"Match","Mismatch")))</f>
        <v>Match</v>
      </c>
      <c r="W87" s="14" t="str">
        <f aca="false">IF(M87="","No D&amp;B match",IF(L87="","Missing in CRM",IF(L87=M87,"Match","Mismatch")))</f>
        <v>Match</v>
      </c>
      <c r="X87" s="14" t="n">
        <f aca="false">COUNTIF(U87:W87,"&lt;&gt;Match")+IF(T87="past closed",1,0)</f>
        <v>1</v>
      </c>
      <c r="Y87" s="14" t="str">
        <f aca="false">IF(X87=0,"Clean","Review")</f>
        <v>Review</v>
      </c>
    </row>
    <row r="88" customFormat="false" ht="15" hidden="false" customHeight="false" outlineLevel="0" collapsed="false">
      <c r="A88" s="14" t="s">
        <v>159</v>
      </c>
      <c r="B88" s="14" t="s">
        <v>160</v>
      </c>
      <c r="C88" s="14" t="s">
        <v>161</v>
      </c>
      <c r="D88" s="14" t="s">
        <v>35</v>
      </c>
      <c r="E88" s="14" t="s">
        <v>162</v>
      </c>
      <c r="F88" s="14" t="s">
        <v>111</v>
      </c>
      <c r="G88" s="14" t="s">
        <v>163</v>
      </c>
      <c r="H88" s="14" t="s">
        <v>163</v>
      </c>
      <c r="I88" s="14" t="s">
        <v>375</v>
      </c>
      <c r="J88" s="14" t="n">
        <v>4841</v>
      </c>
      <c r="K88" s="14" t="n">
        <v>4841</v>
      </c>
      <c r="L88" s="14" t="n">
        <v>924227934</v>
      </c>
      <c r="M88" s="14" t="n">
        <v>924227934</v>
      </c>
      <c r="N88" s="14" t="s">
        <v>107</v>
      </c>
      <c r="O88" s="15" t="n">
        <v>45788</v>
      </c>
      <c r="P88" s="15" t="n">
        <v>45951</v>
      </c>
      <c r="Q88" s="14" t="s">
        <v>72</v>
      </c>
      <c r="R88" s="16" t="n">
        <v>168300</v>
      </c>
      <c r="S88" s="14" t="n">
        <f aca="false">IF(N88="Closed Won","",P88-ReportDate)</f>
        <v>96</v>
      </c>
      <c r="T88" s="14" t="str">
        <f aca="false">IF(N88="Closed Won","closed",IF(S88&lt;0,"past closed",IF(S88&lt;=10,"update","on track")))</f>
        <v>on track</v>
      </c>
      <c r="U88" s="14" t="str">
        <f aca="false">IF(H88="","No D&amp;B match",IF(TRIM(G88)=TRIM(H88),"Match","Mismatch"))</f>
        <v>Match</v>
      </c>
      <c r="V88" s="14" t="str">
        <f aca="false">IF(K88="","No D&amp;B match",IF(J88="","Missing in CRM",IF(J88=K88,"Match","Mismatch")))</f>
        <v>Match</v>
      </c>
      <c r="W88" s="14" t="str">
        <f aca="false">IF(M88="","No D&amp;B match",IF(L88="","Missing in CRM",IF(L88=M88,"Match","Mismatch")))</f>
        <v>Match</v>
      </c>
      <c r="X88" s="14" t="n">
        <f aca="false">COUNTIF(U88:W88,"&lt;&gt;Match")+IF(T88="past closed",1,0)</f>
        <v>0</v>
      </c>
      <c r="Y88" s="14" t="str">
        <f aca="false">IF(X88=0,"Clean","Review")</f>
        <v>Clean</v>
      </c>
    </row>
    <row r="89" customFormat="false" ht="15" hidden="false" customHeight="false" outlineLevel="0" collapsed="false">
      <c r="A89" s="14" t="s">
        <v>234</v>
      </c>
      <c r="B89" s="14" t="s">
        <v>235</v>
      </c>
      <c r="C89" s="14" t="s">
        <v>59</v>
      </c>
      <c r="D89" s="14" t="s">
        <v>37</v>
      </c>
      <c r="E89" s="14" t="s">
        <v>236</v>
      </c>
      <c r="F89" s="14" t="s">
        <v>237</v>
      </c>
      <c r="G89" s="14" t="s">
        <v>238</v>
      </c>
      <c r="H89" s="14" t="s">
        <v>238</v>
      </c>
      <c r="I89" s="14" t="s">
        <v>387</v>
      </c>
      <c r="J89" s="14" t="n">
        <v>5511</v>
      </c>
      <c r="K89" s="14" t="n">
        <v>5511</v>
      </c>
      <c r="L89" s="14" t="n">
        <v>688141263</v>
      </c>
      <c r="M89" s="14" t="n">
        <v>688141263</v>
      </c>
      <c r="N89" s="14" t="s">
        <v>63</v>
      </c>
      <c r="O89" s="15" t="n">
        <v>45785</v>
      </c>
      <c r="P89" s="15" t="n">
        <v>45987</v>
      </c>
      <c r="Q89" s="14" t="s">
        <v>72</v>
      </c>
      <c r="R89" s="16" t="n">
        <v>24700</v>
      </c>
      <c r="S89" s="14" t="n">
        <f aca="false">IF(N89="Closed Won","",P89-ReportDate)</f>
        <v>132</v>
      </c>
      <c r="T89" s="14" t="str">
        <f aca="false">IF(N89="Closed Won","closed",IF(S89&lt;0,"past closed",IF(S89&lt;=10,"update","on track")))</f>
        <v>on track</v>
      </c>
      <c r="U89" s="14" t="str">
        <f aca="false">IF(H89="","No D&amp;B match",IF(TRIM(G89)=TRIM(H89),"Match","Mismatch"))</f>
        <v>Match</v>
      </c>
      <c r="V89" s="14" t="str">
        <f aca="false">IF(K89="","No D&amp;B match",IF(J89="","Missing in CRM",IF(J89=K89,"Match","Mismatch")))</f>
        <v>Match</v>
      </c>
      <c r="W89" s="14" t="str">
        <f aca="false">IF(M89="","No D&amp;B match",IF(L89="","Missing in CRM",IF(L89=M89,"Match","Mismatch")))</f>
        <v>Match</v>
      </c>
      <c r="X89" s="14" t="n">
        <f aca="false">COUNTIF(U89:W89,"&lt;&gt;Match")+IF(T89="past closed",1,0)</f>
        <v>0</v>
      </c>
      <c r="Y89" s="14" t="str">
        <f aca="false">IF(X89=0,"Clean","Review")</f>
        <v>Clean</v>
      </c>
    </row>
    <row r="90" customFormat="false" ht="15" hidden="false" customHeight="false" outlineLevel="0" collapsed="false">
      <c r="A90" s="14" t="s">
        <v>640</v>
      </c>
      <c r="B90" s="14" t="s">
        <v>641</v>
      </c>
      <c r="C90" s="14" t="s">
        <v>116</v>
      </c>
      <c r="D90" s="14" t="s">
        <v>33</v>
      </c>
      <c r="E90" s="14" t="s">
        <v>642</v>
      </c>
      <c r="F90" s="14" t="s">
        <v>643</v>
      </c>
      <c r="G90" s="14" t="s">
        <v>644</v>
      </c>
      <c r="H90" s="14" t="s">
        <v>644</v>
      </c>
      <c r="I90" s="14" t="s">
        <v>396</v>
      </c>
      <c r="J90" s="14" t="n">
        <v>6022</v>
      </c>
      <c r="K90" s="14" t="n">
        <v>7011</v>
      </c>
      <c r="L90" s="14" t="n">
        <v>288017706</v>
      </c>
      <c r="M90" s="14" t="n">
        <v>901576821</v>
      </c>
      <c r="N90" s="14" t="s">
        <v>63</v>
      </c>
      <c r="O90" s="15" t="n">
        <v>45733</v>
      </c>
      <c r="P90" s="15" t="n">
        <v>45959</v>
      </c>
      <c r="Q90" s="14" t="s">
        <v>72</v>
      </c>
      <c r="R90" s="16" t="n">
        <v>305200</v>
      </c>
      <c r="S90" s="14" t="n">
        <f aca="false">IF(N90="Closed Won","",P90-ReportDate)</f>
        <v>104</v>
      </c>
      <c r="T90" s="14" t="str">
        <f aca="false">IF(N90="Closed Won","closed",IF(S90&lt;0,"past closed",IF(S90&lt;=10,"update","on track")))</f>
        <v>on track</v>
      </c>
      <c r="U90" s="14" t="str">
        <f aca="false">IF(H90="","No D&amp;B match",IF(TRIM(G90)=TRIM(H90),"Match","Mismatch"))</f>
        <v>Match</v>
      </c>
      <c r="V90" s="14" t="str">
        <f aca="false">IF(K90="","No D&amp;B match",IF(J90="","Missing in CRM",IF(J90=K90,"Match","Mismatch")))</f>
        <v>Mismatch</v>
      </c>
      <c r="W90" s="14" t="str">
        <f aca="false">IF(M90="","No D&amp;B match",IF(L90="","Missing in CRM",IF(L90=M90,"Match","Mismatch")))</f>
        <v>Mismatch</v>
      </c>
      <c r="X90" s="14" t="n">
        <f aca="false">COUNTIF(U90:W90,"&lt;&gt;Match")+IF(T90="past closed",1,0)</f>
        <v>2</v>
      </c>
      <c r="Y90" s="14" t="str">
        <f aca="false">IF(X90=0,"Clean","Review")</f>
        <v>Review</v>
      </c>
    </row>
    <row r="91" customFormat="false" ht="15" hidden="false" customHeight="false" outlineLevel="0" collapsed="false">
      <c r="A91" s="14" t="s">
        <v>645</v>
      </c>
      <c r="B91" s="14" t="s">
        <v>646</v>
      </c>
      <c r="C91" s="14" t="s">
        <v>191</v>
      </c>
      <c r="D91" s="14" t="s">
        <v>34</v>
      </c>
      <c r="E91" s="14" t="s">
        <v>647</v>
      </c>
      <c r="F91" s="14" t="s">
        <v>97</v>
      </c>
      <c r="G91" s="14" t="s">
        <v>648</v>
      </c>
      <c r="H91" s="14" t="s">
        <v>648</v>
      </c>
      <c r="I91" s="14" t="s">
        <v>419</v>
      </c>
      <c r="J91" s="14"/>
      <c r="K91" s="14" t="n">
        <v>5999</v>
      </c>
      <c r="L91" s="14"/>
      <c r="M91" s="14" t="n">
        <v>711827141</v>
      </c>
      <c r="N91" s="14" t="s">
        <v>63</v>
      </c>
      <c r="O91" s="15" t="n">
        <v>45336</v>
      </c>
      <c r="P91" s="15" t="n">
        <v>45507</v>
      </c>
      <c r="Q91" s="14" t="s">
        <v>100</v>
      </c>
      <c r="R91" s="16" t="n">
        <v>448900</v>
      </c>
      <c r="S91" s="14" t="n">
        <f aca="false">IF(N91="Closed Won","",P91-ReportDate)</f>
        <v>-348</v>
      </c>
      <c r="T91" s="14" t="str">
        <f aca="false">IF(N91="Closed Won","closed",IF(S91&lt;0,"past closed",IF(S91&lt;=10,"update","on track")))</f>
        <v>past closed</v>
      </c>
      <c r="U91" s="14" t="str">
        <f aca="false">IF(H91="","No D&amp;B match",IF(TRIM(G91)=TRIM(H91),"Match","Mismatch"))</f>
        <v>Match</v>
      </c>
      <c r="V91" s="14" t="str">
        <f aca="false">IF(K91="","No D&amp;B match",IF(J91="","Missing in CRM",IF(J91=K91,"Match","Mismatch")))</f>
        <v>Missing in CRM</v>
      </c>
      <c r="W91" s="14" t="str">
        <f aca="false">IF(M91="","No D&amp;B match",IF(L91="","Missing in CRM",IF(L91=M91,"Match","Mismatch")))</f>
        <v>Missing in CRM</v>
      </c>
      <c r="X91" s="14" t="n">
        <f aca="false">COUNTIF(U91:W91,"&lt;&gt;Match")+IF(T91="past closed",1,0)</f>
        <v>3</v>
      </c>
      <c r="Y91" s="14" t="str">
        <f aca="false">IF(X91=0,"Clean","Review")</f>
        <v>Review</v>
      </c>
    </row>
    <row r="92" customFormat="false" ht="15" hidden="false" customHeight="false" outlineLevel="0" collapsed="false">
      <c r="A92" s="14" t="s">
        <v>649</v>
      </c>
      <c r="B92" s="14" t="s">
        <v>650</v>
      </c>
      <c r="C92" s="14" t="s">
        <v>483</v>
      </c>
      <c r="D92" s="14" t="s">
        <v>34</v>
      </c>
      <c r="E92" s="14" t="s">
        <v>651</v>
      </c>
      <c r="F92" s="14" t="s">
        <v>193</v>
      </c>
      <c r="G92" s="14" t="s">
        <v>652</v>
      </c>
      <c r="H92" s="14" t="s">
        <v>652</v>
      </c>
      <c r="I92" s="14" t="s">
        <v>375</v>
      </c>
      <c r="J92" s="14" t="n">
        <v>4841</v>
      </c>
      <c r="K92" s="14" t="n">
        <v>4841</v>
      </c>
      <c r="L92" s="14" t="n">
        <v>732586408</v>
      </c>
      <c r="M92" s="14" t="n">
        <v>732586408</v>
      </c>
      <c r="N92" s="14" t="s">
        <v>99</v>
      </c>
      <c r="O92" s="15" t="n">
        <v>45438</v>
      </c>
      <c r="P92" s="15" t="n">
        <v>45658</v>
      </c>
      <c r="Q92" s="14" t="s">
        <v>85</v>
      </c>
      <c r="R92" s="16" t="n">
        <v>274900</v>
      </c>
      <c r="S92" s="14" t="str">
        <f aca="false">IF(N92="Closed Won","",P92-ReportDate)</f>
        <v/>
      </c>
      <c r="T92" s="14" t="str">
        <f aca="false">IF(N92="Closed Won","closed",IF(S92&lt;0,"past closed",IF(S92&lt;=10,"update","on track")))</f>
        <v>closed</v>
      </c>
      <c r="U92" s="14" t="str">
        <f aca="false">IF(H92="","No D&amp;B match",IF(TRIM(G92)=TRIM(H92),"Match","Mismatch"))</f>
        <v>Match</v>
      </c>
      <c r="V92" s="14" t="str">
        <f aca="false">IF(K92="","No D&amp;B match",IF(J92="","Missing in CRM",IF(J92=K92,"Match","Mismatch")))</f>
        <v>Match</v>
      </c>
      <c r="W92" s="14" t="str">
        <f aca="false">IF(M92="","No D&amp;B match",IF(L92="","Missing in CRM",IF(L92=M92,"Match","Mismatch")))</f>
        <v>Match</v>
      </c>
      <c r="X92" s="14" t="n">
        <f aca="false">COUNTIF(U92:W92,"&lt;&gt;Match")+IF(T92="past closed",1,0)</f>
        <v>0</v>
      </c>
      <c r="Y92" s="14" t="str">
        <f aca="false">IF(X92=0,"Clean","Review")</f>
        <v>Clean</v>
      </c>
    </row>
    <row r="93" customFormat="false" ht="15" hidden="false" customHeight="false" outlineLevel="0" collapsed="false">
      <c r="A93" s="14" t="s">
        <v>252</v>
      </c>
      <c r="B93" s="14" t="s">
        <v>253</v>
      </c>
      <c r="C93" s="14" t="s">
        <v>161</v>
      </c>
      <c r="D93" s="14" t="s">
        <v>35</v>
      </c>
      <c r="E93" s="14" t="s">
        <v>254</v>
      </c>
      <c r="F93" s="14" t="s">
        <v>111</v>
      </c>
      <c r="G93" s="14" t="s">
        <v>255</v>
      </c>
      <c r="H93" s="14" t="s">
        <v>255</v>
      </c>
      <c r="I93" s="14" t="s">
        <v>419</v>
      </c>
      <c r="J93" s="14" t="n">
        <v>5999</v>
      </c>
      <c r="K93" s="14" t="n">
        <v>5999</v>
      </c>
      <c r="L93" s="14" t="n">
        <v>728622628</v>
      </c>
      <c r="M93" s="14" t="n">
        <v>728622628</v>
      </c>
      <c r="N93" s="14" t="s">
        <v>178</v>
      </c>
      <c r="O93" s="15" t="n">
        <v>45392</v>
      </c>
      <c r="P93" s="15" t="n">
        <v>45612</v>
      </c>
      <c r="Q93" s="14" t="s">
        <v>92</v>
      </c>
      <c r="R93" s="16" t="n">
        <v>58000</v>
      </c>
      <c r="S93" s="14" t="n">
        <f aca="false">IF(N93="Closed Won","",P93-ReportDate)</f>
        <v>-243</v>
      </c>
      <c r="T93" s="14" t="str">
        <f aca="false">IF(N93="Closed Won","closed",IF(S93&lt;0,"past closed",IF(S93&lt;=10,"update","on track")))</f>
        <v>past closed</v>
      </c>
      <c r="U93" s="14" t="str">
        <f aca="false">IF(H93="","No D&amp;B match",IF(TRIM(G93)=TRIM(H93),"Match","Mismatch"))</f>
        <v>Match</v>
      </c>
      <c r="V93" s="14" t="str">
        <f aca="false">IF(K93="","No D&amp;B match",IF(J93="","Missing in CRM",IF(J93=K93,"Match","Mismatch")))</f>
        <v>Match</v>
      </c>
      <c r="W93" s="14" t="str">
        <f aca="false">IF(M93="","No D&amp;B match",IF(L93="","Missing in CRM",IF(L93=M93,"Match","Mismatch")))</f>
        <v>Match</v>
      </c>
      <c r="X93" s="14" t="n">
        <f aca="false">COUNTIF(U93:W93,"&lt;&gt;Match")+IF(T93="past closed",1,0)</f>
        <v>1</v>
      </c>
      <c r="Y93" s="14" t="str">
        <f aca="false">IF(X93=0,"Clean","Review")</f>
        <v>Review</v>
      </c>
    </row>
    <row r="94" customFormat="false" ht="15" hidden="false" customHeight="false" outlineLevel="0" collapsed="false">
      <c r="A94" s="14" t="s">
        <v>120</v>
      </c>
      <c r="B94" s="14" t="s">
        <v>121</v>
      </c>
      <c r="C94" s="14" t="s">
        <v>122</v>
      </c>
      <c r="D94" s="14" t="s">
        <v>32</v>
      </c>
      <c r="E94" s="14" t="s">
        <v>123</v>
      </c>
      <c r="F94" s="14" t="s">
        <v>124</v>
      </c>
      <c r="G94" s="14" t="s">
        <v>125</v>
      </c>
      <c r="H94" s="14" t="s">
        <v>125</v>
      </c>
      <c r="I94" s="14" t="s">
        <v>419</v>
      </c>
      <c r="J94" s="14" t="n">
        <v>5999</v>
      </c>
      <c r="K94" s="14" t="n">
        <v>5999</v>
      </c>
      <c r="L94" s="14" t="n">
        <v>611262949</v>
      </c>
      <c r="M94" s="14" t="n">
        <v>611262949</v>
      </c>
      <c r="N94" s="14" t="s">
        <v>107</v>
      </c>
      <c r="O94" s="15" t="n">
        <v>45396</v>
      </c>
      <c r="P94" s="15" t="n">
        <v>45626</v>
      </c>
      <c r="Q94" s="14" t="s">
        <v>92</v>
      </c>
      <c r="R94" s="16" t="n">
        <v>412000</v>
      </c>
      <c r="S94" s="14" t="n">
        <f aca="false">IF(N94="Closed Won","",P94-ReportDate)</f>
        <v>-229</v>
      </c>
      <c r="T94" s="14" t="str">
        <f aca="false">IF(N94="Closed Won","closed",IF(S94&lt;0,"past closed",IF(S94&lt;=10,"update","on track")))</f>
        <v>past closed</v>
      </c>
      <c r="U94" s="14" t="str">
        <f aca="false">IF(H94="","No D&amp;B match",IF(TRIM(G94)=TRIM(H94),"Match","Mismatch"))</f>
        <v>Match</v>
      </c>
      <c r="V94" s="14" t="str">
        <f aca="false">IF(K94="","No D&amp;B match",IF(J94="","Missing in CRM",IF(J94=K94,"Match","Mismatch")))</f>
        <v>Match</v>
      </c>
      <c r="W94" s="14" t="str">
        <f aca="false">IF(M94="","No D&amp;B match",IF(L94="","Missing in CRM",IF(L94=M94,"Match","Mismatch")))</f>
        <v>Match</v>
      </c>
      <c r="X94" s="14" t="n">
        <f aca="false">COUNTIF(U94:W94,"&lt;&gt;Match")+IF(T94="past closed",1,0)</f>
        <v>1</v>
      </c>
      <c r="Y94" s="14" t="str">
        <f aca="false">IF(X94=0,"Clean","Review")</f>
        <v>Review</v>
      </c>
    </row>
    <row r="95" customFormat="false" ht="15" hidden="false" customHeight="false" outlineLevel="0" collapsed="false">
      <c r="A95" s="14" t="s">
        <v>653</v>
      </c>
      <c r="B95" s="14" t="s">
        <v>654</v>
      </c>
      <c r="C95" s="14" t="s">
        <v>483</v>
      </c>
      <c r="D95" s="14" t="s">
        <v>34</v>
      </c>
      <c r="E95" s="14" t="s">
        <v>655</v>
      </c>
      <c r="F95" s="14" t="s">
        <v>278</v>
      </c>
      <c r="G95" s="14" t="s">
        <v>656</v>
      </c>
      <c r="H95" s="14"/>
      <c r="I95" s="14" t="s">
        <v>375</v>
      </c>
      <c r="J95" s="14"/>
      <c r="K95" s="14"/>
      <c r="L95" s="14"/>
      <c r="M95" s="14"/>
      <c r="N95" s="14" t="s">
        <v>71</v>
      </c>
      <c r="O95" s="15" t="n">
        <v>45637</v>
      </c>
      <c r="P95" s="15" t="n">
        <v>45688</v>
      </c>
      <c r="Q95" s="14" t="s">
        <v>85</v>
      </c>
      <c r="R95" s="16" t="n">
        <v>194900</v>
      </c>
      <c r="S95" s="14" t="n">
        <f aca="false">IF(N95="Closed Won","",P95-ReportDate)</f>
        <v>-167</v>
      </c>
      <c r="T95" s="14" t="str">
        <f aca="false">IF(N95="Closed Won","closed",IF(S95&lt;0,"past closed",IF(S95&lt;=10,"update","on track")))</f>
        <v>past closed</v>
      </c>
      <c r="U95" s="14" t="str">
        <f aca="false">IF(H95="","No D&amp;B match",IF(TRIM(G95)=TRIM(H95),"Match","Mismatch"))</f>
        <v>No D&amp;B match</v>
      </c>
      <c r="V95" s="14" t="str">
        <f aca="false">IF(K95="","No D&amp;B match",IF(J95="","Missing in CRM",IF(J95=K95,"Match","Mismatch")))</f>
        <v>No D&amp;B match</v>
      </c>
      <c r="W95" s="14" t="str">
        <f aca="false">IF(M95="","No D&amp;B match",IF(L95="","Missing in CRM",IF(L95=M95,"Match","Mismatch")))</f>
        <v>No D&amp;B match</v>
      </c>
      <c r="X95" s="14" t="n">
        <f aca="false">COUNTIF(U95:W95,"&lt;&gt;Match")+IF(T95="past closed",1,0)</f>
        <v>4</v>
      </c>
      <c r="Y95" s="14" t="str">
        <f aca="false">IF(X95=0,"Clean","Review")</f>
        <v>Review</v>
      </c>
    </row>
    <row r="96" customFormat="false" ht="15" hidden="false" customHeight="false" outlineLevel="0" collapsed="false">
      <c r="A96" s="14" t="s">
        <v>657</v>
      </c>
      <c r="B96" s="14" t="s">
        <v>658</v>
      </c>
      <c r="C96" s="14" t="s">
        <v>103</v>
      </c>
      <c r="D96" s="14" t="s">
        <v>32</v>
      </c>
      <c r="E96" s="14" t="s">
        <v>659</v>
      </c>
      <c r="F96" s="14" t="s">
        <v>211</v>
      </c>
      <c r="G96" s="14" t="s">
        <v>660</v>
      </c>
      <c r="H96" s="14" t="s">
        <v>660</v>
      </c>
      <c r="I96" s="14" t="s">
        <v>375</v>
      </c>
      <c r="J96" s="14" t="n">
        <v>4841</v>
      </c>
      <c r="K96" s="14" t="n">
        <v>4841</v>
      </c>
      <c r="L96" s="14" t="n">
        <v>429073795</v>
      </c>
      <c r="M96" s="14" t="n">
        <v>429073795</v>
      </c>
      <c r="N96" s="14" t="s">
        <v>99</v>
      </c>
      <c r="O96" s="15" t="n">
        <v>45763</v>
      </c>
      <c r="P96" s="15" t="n">
        <v>45806</v>
      </c>
      <c r="Q96" s="14" t="s">
        <v>203</v>
      </c>
      <c r="R96" s="16" t="n">
        <v>49900</v>
      </c>
      <c r="S96" s="14" t="str">
        <f aca="false">IF(N96="Closed Won","",P96-ReportDate)</f>
        <v/>
      </c>
      <c r="T96" s="14" t="str">
        <f aca="false">IF(N96="Closed Won","closed",IF(S96&lt;0,"past closed",IF(S96&lt;=10,"update","on track")))</f>
        <v>closed</v>
      </c>
      <c r="U96" s="14" t="str">
        <f aca="false">IF(H96="","No D&amp;B match",IF(TRIM(G96)=TRIM(H96),"Match","Mismatch"))</f>
        <v>Match</v>
      </c>
      <c r="V96" s="14" t="str">
        <f aca="false">IF(K96="","No D&amp;B match",IF(J96="","Missing in CRM",IF(J96=K96,"Match","Mismatch")))</f>
        <v>Match</v>
      </c>
      <c r="W96" s="14" t="str">
        <f aca="false">IF(M96="","No D&amp;B match",IF(L96="","Missing in CRM",IF(L96=M96,"Match","Mismatch")))</f>
        <v>Match</v>
      </c>
      <c r="X96" s="14" t="n">
        <f aca="false">COUNTIF(U96:W96,"&lt;&gt;Match")+IF(T96="past closed",1,0)</f>
        <v>0</v>
      </c>
      <c r="Y96" s="14" t="str">
        <f aca="false">IF(X96=0,"Clean","Review")</f>
        <v>Clean</v>
      </c>
    </row>
    <row r="97" customFormat="false" ht="15" hidden="false" customHeight="false" outlineLevel="0" collapsed="false">
      <c r="A97" s="14" t="s">
        <v>661</v>
      </c>
      <c r="B97" s="14" t="s">
        <v>662</v>
      </c>
      <c r="C97" s="14" t="s">
        <v>166</v>
      </c>
      <c r="D97" s="14" t="s">
        <v>32</v>
      </c>
      <c r="E97" s="14" t="s">
        <v>663</v>
      </c>
      <c r="F97" s="14" t="s">
        <v>77</v>
      </c>
      <c r="G97" s="14" t="s">
        <v>664</v>
      </c>
      <c r="H97" s="14"/>
      <c r="I97" s="14" t="s">
        <v>468</v>
      </c>
      <c r="J97" s="14"/>
      <c r="K97" s="14"/>
      <c r="L97" s="14"/>
      <c r="M97" s="14"/>
      <c r="N97" s="14" t="s">
        <v>71</v>
      </c>
      <c r="O97" s="15" t="n">
        <v>45787</v>
      </c>
      <c r="P97" s="15" t="n">
        <v>45849</v>
      </c>
      <c r="Q97" s="14" t="s">
        <v>113</v>
      </c>
      <c r="R97" s="16" t="n">
        <v>83600</v>
      </c>
      <c r="S97" s="14" t="n">
        <f aca="false">IF(N97="Closed Won","",P97-ReportDate)</f>
        <v>-6</v>
      </c>
      <c r="T97" s="14" t="str">
        <f aca="false">IF(N97="Closed Won","closed",IF(S97&lt;0,"past closed",IF(S97&lt;=10,"update","on track")))</f>
        <v>past closed</v>
      </c>
      <c r="U97" s="14" t="str">
        <f aca="false">IF(H97="","No D&amp;B match",IF(TRIM(G97)=TRIM(H97),"Match","Mismatch"))</f>
        <v>No D&amp;B match</v>
      </c>
      <c r="V97" s="14" t="str">
        <f aca="false">IF(K97="","No D&amp;B match",IF(J97="","Missing in CRM",IF(J97=K97,"Match","Mismatch")))</f>
        <v>No D&amp;B match</v>
      </c>
      <c r="W97" s="14" t="str">
        <f aca="false">IF(M97="","No D&amp;B match",IF(L97="","Missing in CRM",IF(L97=M97,"Match","Mismatch")))</f>
        <v>No D&amp;B match</v>
      </c>
      <c r="X97" s="14" t="n">
        <f aca="false">COUNTIF(U97:W97,"&lt;&gt;Match")+IF(T97="past closed",1,0)</f>
        <v>4</v>
      </c>
      <c r="Y97" s="14" t="str">
        <f aca="false">IF(X97=0,"Clean","Review")</f>
        <v>Review</v>
      </c>
    </row>
    <row r="98" customFormat="false" ht="15" hidden="false" customHeight="false" outlineLevel="0" collapsed="false">
      <c r="A98" s="14" t="s">
        <v>665</v>
      </c>
      <c r="B98" s="14" t="s">
        <v>666</v>
      </c>
      <c r="C98" s="14" t="s">
        <v>191</v>
      </c>
      <c r="D98" s="14" t="s">
        <v>34</v>
      </c>
      <c r="E98" s="14" t="s">
        <v>667</v>
      </c>
      <c r="F98" s="14" t="s">
        <v>326</v>
      </c>
      <c r="G98" s="14" t="s">
        <v>668</v>
      </c>
      <c r="H98" s="14" t="s">
        <v>668</v>
      </c>
      <c r="I98" s="14" t="s">
        <v>375</v>
      </c>
      <c r="J98" s="14" t="n">
        <v>4841</v>
      </c>
      <c r="K98" s="14" t="n">
        <v>4841</v>
      </c>
      <c r="L98" s="14" t="n">
        <v>948070770</v>
      </c>
      <c r="M98" s="14" t="n">
        <v>948070770</v>
      </c>
      <c r="N98" s="14" t="s">
        <v>71</v>
      </c>
      <c r="O98" s="15" t="n">
        <v>45783</v>
      </c>
      <c r="P98" s="15" t="n">
        <v>45916</v>
      </c>
      <c r="Q98" s="14" t="s">
        <v>113</v>
      </c>
      <c r="R98" s="16" t="n">
        <v>50500</v>
      </c>
      <c r="S98" s="14" t="n">
        <f aca="false">IF(N98="Closed Won","",P98-ReportDate)</f>
        <v>61</v>
      </c>
      <c r="T98" s="14" t="str">
        <f aca="false">IF(N98="Closed Won","closed",IF(S98&lt;0,"past closed",IF(S98&lt;=10,"update","on track")))</f>
        <v>on track</v>
      </c>
      <c r="U98" s="14" t="str">
        <f aca="false">IF(H98="","No D&amp;B match",IF(TRIM(G98)=TRIM(H98),"Match","Mismatch"))</f>
        <v>Match</v>
      </c>
      <c r="V98" s="14" t="str">
        <f aca="false">IF(K98="","No D&amp;B match",IF(J98="","Missing in CRM",IF(J98=K98,"Match","Mismatch")))</f>
        <v>Match</v>
      </c>
      <c r="W98" s="14" t="str">
        <f aca="false">IF(M98="","No D&amp;B match",IF(L98="","Missing in CRM",IF(L98=M98,"Match","Mismatch")))</f>
        <v>Match</v>
      </c>
      <c r="X98" s="14" t="n">
        <f aca="false">COUNTIF(U98:W98,"&lt;&gt;Match")+IF(T98="past closed",1,0)</f>
        <v>0</v>
      </c>
      <c r="Y98" s="14" t="str">
        <f aca="false">IF(X98=0,"Clean","Review")</f>
        <v>Clean</v>
      </c>
    </row>
    <row r="99" customFormat="false" ht="15" hidden="false" customHeight="false" outlineLevel="0" collapsed="false">
      <c r="A99" s="14" t="s">
        <v>669</v>
      </c>
      <c r="B99" s="14" t="s">
        <v>670</v>
      </c>
      <c r="C99" s="14" t="s">
        <v>138</v>
      </c>
      <c r="D99" s="14" t="s">
        <v>33</v>
      </c>
      <c r="E99" s="14" t="s">
        <v>671</v>
      </c>
      <c r="F99" s="14" t="s">
        <v>305</v>
      </c>
      <c r="G99" s="14" t="s">
        <v>672</v>
      </c>
      <c r="H99" s="14" t="s">
        <v>673</v>
      </c>
      <c r="I99" s="14" t="s">
        <v>381</v>
      </c>
      <c r="J99" s="14" t="n">
        <v>5122</v>
      </c>
      <c r="K99" s="14" t="n">
        <v>5122</v>
      </c>
      <c r="L99" s="14" t="n">
        <v>353406823</v>
      </c>
      <c r="M99" s="14" t="n">
        <v>353406823</v>
      </c>
      <c r="N99" s="14" t="s">
        <v>107</v>
      </c>
      <c r="O99" s="15" t="n">
        <v>45549</v>
      </c>
      <c r="P99" s="15" t="n">
        <v>45644</v>
      </c>
      <c r="Q99" s="14" t="s">
        <v>92</v>
      </c>
      <c r="R99" s="16" t="n">
        <v>27200</v>
      </c>
      <c r="S99" s="14" t="n">
        <f aca="false">IF(N99="Closed Won","",P99-ReportDate)</f>
        <v>-211</v>
      </c>
      <c r="T99" s="14" t="str">
        <f aca="false">IF(N99="Closed Won","closed",IF(S99&lt;0,"past closed",IF(S99&lt;=10,"update","on track")))</f>
        <v>past closed</v>
      </c>
      <c r="U99" s="14" t="str">
        <f aca="false">IF(H99="","No D&amp;B match",IF(TRIM(G99)=TRIM(H99),"Match","Mismatch"))</f>
        <v>Mismatch</v>
      </c>
      <c r="V99" s="14" t="str">
        <f aca="false">IF(K99="","No D&amp;B match",IF(J99="","Missing in CRM",IF(J99=K99,"Match","Mismatch")))</f>
        <v>Match</v>
      </c>
      <c r="W99" s="14" t="str">
        <f aca="false">IF(M99="","No D&amp;B match",IF(L99="","Missing in CRM",IF(L99=M99,"Match","Mismatch")))</f>
        <v>Match</v>
      </c>
      <c r="X99" s="14" t="n">
        <f aca="false">COUNTIF(U99:W99,"&lt;&gt;Match")+IF(T99="past closed",1,0)</f>
        <v>2</v>
      </c>
      <c r="Y99" s="14" t="str">
        <f aca="false">IF(X99=0,"Clean","Review")</f>
        <v>Review</v>
      </c>
    </row>
    <row r="100" customFormat="false" ht="15" hidden="false" customHeight="false" outlineLevel="0" collapsed="false">
      <c r="A100" s="14" t="s">
        <v>674</v>
      </c>
      <c r="B100" s="14" t="s">
        <v>675</v>
      </c>
      <c r="C100" s="14" t="s">
        <v>291</v>
      </c>
      <c r="D100" s="14" t="s">
        <v>32</v>
      </c>
      <c r="E100" s="14" t="s">
        <v>676</v>
      </c>
      <c r="F100" s="14" t="s">
        <v>124</v>
      </c>
      <c r="G100" s="14" t="s">
        <v>677</v>
      </c>
      <c r="H100" s="14"/>
      <c r="I100" s="14" t="s">
        <v>419</v>
      </c>
      <c r="J100" s="14"/>
      <c r="K100" s="14"/>
      <c r="L100" s="14"/>
      <c r="M100" s="14"/>
      <c r="N100" s="14" t="s">
        <v>107</v>
      </c>
      <c r="O100" s="15" t="n">
        <v>45496</v>
      </c>
      <c r="P100" s="15" t="n">
        <v>45605</v>
      </c>
      <c r="Q100" s="14" t="s">
        <v>92</v>
      </c>
      <c r="R100" s="16" t="n">
        <v>163700</v>
      </c>
      <c r="S100" s="14" t="n">
        <f aca="false">IF(N100="Closed Won","",P100-ReportDate)</f>
        <v>-250</v>
      </c>
      <c r="T100" s="14" t="str">
        <f aca="false">IF(N100="Closed Won","closed",IF(S100&lt;0,"past closed",IF(S100&lt;=10,"update","on track")))</f>
        <v>past closed</v>
      </c>
      <c r="U100" s="14" t="str">
        <f aca="false">IF(H100="","No D&amp;B match",IF(TRIM(G100)=TRIM(H100),"Match","Mismatch"))</f>
        <v>No D&amp;B match</v>
      </c>
      <c r="V100" s="14" t="str">
        <f aca="false">IF(K100="","No D&amp;B match",IF(J100="","Missing in CRM",IF(J100=K100,"Match","Mismatch")))</f>
        <v>No D&amp;B match</v>
      </c>
      <c r="W100" s="14" t="str">
        <f aca="false">IF(M100="","No D&amp;B match",IF(L100="","Missing in CRM",IF(L100=M100,"Match","Mismatch")))</f>
        <v>No D&amp;B match</v>
      </c>
      <c r="X100" s="14" t="n">
        <f aca="false">COUNTIF(U100:W100,"&lt;&gt;Match")+IF(T100="past closed",1,0)</f>
        <v>4</v>
      </c>
      <c r="Y100" s="14" t="str">
        <f aca="false">IF(X100=0,"Clean","Review")</f>
        <v>Review</v>
      </c>
    </row>
    <row r="101" customFormat="false" ht="15" hidden="false" customHeight="false" outlineLevel="0" collapsed="false">
      <c r="A101" s="14" t="s">
        <v>678</v>
      </c>
      <c r="B101" s="14" t="s">
        <v>679</v>
      </c>
      <c r="C101" s="14" t="s">
        <v>166</v>
      </c>
      <c r="D101" s="14" t="s">
        <v>32</v>
      </c>
      <c r="E101" s="14" t="s">
        <v>680</v>
      </c>
      <c r="F101" s="14" t="s">
        <v>182</v>
      </c>
      <c r="G101" s="14" t="s">
        <v>681</v>
      </c>
      <c r="H101" s="14" t="s">
        <v>681</v>
      </c>
      <c r="I101" s="14" t="s">
        <v>406</v>
      </c>
      <c r="J101" s="14" t="n">
        <v>5961</v>
      </c>
      <c r="K101" s="14" t="n">
        <v>5961</v>
      </c>
      <c r="L101" s="14" t="n">
        <v>971512944</v>
      </c>
      <c r="M101" s="14" t="n">
        <v>971512944</v>
      </c>
      <c r="N101" s="14" t="s">
        <v>63</v>
      </c>
      <c r="O101" s="15" t="n">
        <v>45304</v>
      </c>
      <c r="P101" s="15" t="n">
        <v>45437</v>
      </c>
      <c r="Q101" s="14" t="s">
        <v>64</v>
      </c>
      <c r="R101" s="16" t="n">
        <v>27400</v>
      </c>
      <c r="S101" s="14" t="n">
        <f aca="false">IF(N101="Closed Won","",P101-ReportDate)</f>
        <v>-418</v>
      </c>
      <c r="T101" s="14" t="str">
        <f aca="false">IF(N101="Closed Won","closed",IF(S101&lt;0,"past closed",IF(S101&lt;=10,"update","on track")))</f>
        <v>past closed</v>
      </c>
      <c r="U101" s="14" t="str">
        <f aca="false">IF(H101="","No D&amp;B match",IF(TRIM(G101)=TRIM(H101),"Match","Mismatch"))</f>
        <v>Match</v>
      </c>
      <c r="V101" s="14" t="str">
        <f aca="false">IF(K101="","No D&amp;B match",IF(J101="","Missing in CRM",IF(J101=K101,"Match","Mismatch")))</f>
        <v>Match</v>
      </c>
      <c r="W101" s="14" t="str">
        <f aca="false">IF(M101="","No D&amp;B match",IF(L101="","Missing in CRM",IF(L101=M101,"Match","Mismatch")))</f>
        <v>Match</v>
      </c>
      <c r="X101" s="14" t="n">
        <f aca="false">COUNTIF(U101:W101,"&lt;&gt;Match")+IF(T101="past closed",1,0)</f>
        <v>1</v>
      </c>
      <c r="Y101" s="14" t="str">
        <f aca="false">IF(X101=0,"Clean","Review")</f>
        <v>Review</v>
      </c>
    </row>
    <row r="102" customFormat="false" ht="15" hidden="false" customHeight="false" outlineLevel="0" collapsed="false">
      <c r="A102" s="14" t="s">
        <v>184</v>
      </c>
      <c r="B102" s="14" t="s">
        <v>185</v>
      </c>
      <c r="C102" s="14" t="s">
        <v>95</v>
      </c>
      <c r="D102" s="14" t="s">
        <v>34</v>
      </c>
      <c r="E102" s="14" t="s">
        <v>186</v>
      </c>
      <c r="F102" s="14" t="s">
        <v>187</v>
      </c>
      <c r="G102" s="14" t="s">
        <v>188</v>
      </c>
      <c r="H102" s="14" t="s">
        <v>188</v>
      </c>
      <c r="I102" s="14" t="s">
        <v>396</v>
      </c>
      <c r="J102" s="14" t="n">
        <v>7011</v>
      </c>
      <c r="K102" s="14" t="n">
        <v>7011</v>
      </c>
      <c r="L102" s="14" t="n">
        <v>311939772</v>
      </c>
      <c r="M102" s="14" t="n">
        <v>311939772</v>
      </c>
      <c r="N102" s="14" t="s">
        <v>99</v>
      </c>
      <c r="O102" s="15" t="n">
        <v>45338</v>
      </c>
      <c r="P102" s="15" t="n">
        <v>45501</v>
      </c>
      <c r="Q102" s="14" t="s">
        <v>100</v>
      </c>
      <c r="R102" s="16" t="n">
        <v>335500</v>
      </c>
      <c r="S102" s="14" t="str">
        <f aca="false">IF(N102="Closed Won","",P102-ReportDate)</f>
        <v/>
      </c>
      <c r="T102" s="14" t="str">
        <f aca="false">IF(N102="Closed Won","closed",IF(S102&lt;0,"past closed",IF(S102&lt;=10,"update","on track")))</f>
        <v>closed</v>
      </c>
      <c r="U102" s="14" t="str">
        <f aca="false">IF(H102="","No D&amp;B match",IF(TRIM(G102)=TRIM(H102),"Match","Mismatch"))</f>
        <v>Match</v>
      </c>
      <c r="V102" s="14" t="str">
        <f aca="false">IF(K102="","No D&amp;B match",IF(J102="","Missing in CRM",IF(J102=K102,"Match","Mismatch")))</f>
        <v>Match</v>
      </c>
      <c r="W102" s="14" t="str">
        <f aca="false">IF(M102="","No D&amp;B match",IF(L102="","Missing in CRM",IF(L102=M102,"Match","Mismatch")))</f>
        <v>Match</v>
      </c>
      <c r="X102" s="14" t="n">
        <f aca="false">COUNTIF(U102:W102,"&lt;&gt;Match")+IF(T102="past closed",1,0)</f>
        <v>0</v>
      </c>
      <c r="Y102" s="14" t="str">
        <f aca="false">IF(X102=0,"Clean","Review")</f>
        <v>Clean</v>
      </c>
    </row>
    <row r="103" customFormat="false" ht="15" hidden="false" customHeight="false" outlineLevel="0" collapsed="false">
      <c r="A103" s="14" t="s">
        <v>682</v>
      </c>
      <c r="B103" s="14" t="s">
        <v>683</v>
      </c>
      <c r="C103" s="14" t="s">
        <v>67</v>
      </c>
      <c r="D103" s="14" t="s">
        <v>35</v>
      </c>
      <c r="E103" s="14" t="s">
        <v>684</v>
      </c>
      <c r="F103" s="14" t="s">
        <v>685</v>
      </c>
      <c r="G103" s="14" t="s">
        <v>686</v>
      </c>
      <c r="H103" s="14" t="s">
        <v>686</v>
      </c>
      <c r="I103" s="14" t="s">
        <v>419</v>
      </c>
      <c r="J103" s="14" t="n">
        <v>5999</v>
      </c>
      <c r="K103" s="14" t="n">
        <v>5999</v>
      </c>
      <c r="L103" s="14" t="n">
        <v>471275371</v>
      </c>
      <c r="M103" s="14" t="n">
        <v>471275371</v>
      </c>
      <c r="N103" s="14" t="s">
        <v>107</v>
      </c>
      <c r="O103" s="15" t="n">
        <v>45517</v>
      </c>
      <c r="P103" s="15" t="n">
        <v>45761</v>
      </c>
      <c r="Q103" s="14" t="s">
        <v>203</v>
      </c>
      <c r="R103" s="16" t="n">
        <v>219300</v>
      </c>
      <c r="S103" s="14" t="n">
        <f aca="false">IF(N103="Closed Won","",P103-ReportDate)</f>
        <v>-94</v>
      </c>
      <c r="T103" s="14" t="str">
        <f aca="false">IF(N103="Closed Won","closed",IF(S103&lt;0,"past closed",IF(S103&lt;=10,"update","on track")))</f>
        <v>past closed</v>
      </c>
      <c r="U103" s="14" t="str">
        <f aca="false">IF(H103="","No D&amp;B match",IF(TRIM(G103)=TRIM(H103),"Match","Mismatch"))</f>
        <v>Match</v>
      </c>
      <c r="V103" s="14" t="str">
        <f aca="false">IF(K103="","No D&amp;B match",IF(J103="","Missing in CRM",IF(J103=K103,"Match","Mismatch")))</f>
        <v>Match</v>
      </c>
      <c r="W103" s="14" t="str">
        <f aca="false">IF(M103="","No D&amp;B match",IF(L103="","Missing in CRM",IF(L103=M103,"Match","Mismatch")))</f>
        <v>Match</v>
      </c>
      <c r="X103" s="14" t="n">
        <f aca="false">COUNTIF(U103:W103,"&lt;&gt;Match")+IF(T103="past closed",1,0)</f>
        <v>1</v>
      </c>
      <c r="Y103" s="14" t="str">
        <f aca="false">IF(X103=0,"Clean","Review")</f>
        <v>Review</v>
      </c>
    </row>
    <row r="104" customFormat="false" ht="15" hidden="false" customHeight="false" outlineLevel="0" collapsed="false">
      <c r="A104" s="14" t="s">
        <v>687</v>
      </c>
      <c r="B104" s="14" t="s">
        <v>688</v>
      </c>
      <c r="C104" s="14" t="s">
        <v>161</v>
      </c>
      <c r="D104" s="14" t="s">
        <v>35</v>
      </c>
      <c r="E104" s="14" t="s">
        <v>689</v>
      </c>
      <c r="F104" s="14" t="s">
        <v>250</v>
      </c>
      <c r="G104" s="14" t="s">
        <v>690</v>
      </c>
      <c r="H104" s="14" t="s">
        <v>690</v>
      </c>
      <c r="I104" s="14" t="s">
        <v>406</v>
      </c>
      <c r="J104" s="14"/>
      <c r="K104" s="14" t="n">
        <v>5961</v>
      </c>
      <c r="L104" s="14"/>
      <c r="M104" s="14" t="n">
        <v>982447618</v>
      </c>
      <c r="N104" s="14" t="s">
        <v>107</v>
      </c>
      <c r="O104" s="15" t="n">
        <v>45691</v>
      </c>
      <c r="P104" s="15" t="n">
        <v>45855</v>
      </c>
      <c r="Q104" s="14" t="s">
        <v>113</v>
      </c>
      <c r="R104" s="16" t="n">
        <v>77100</v>
      </c>
      <c r="S104" s="14" t="n">
        <f aca="false">IF(N104="Closed Won","",P104-ReportDate)</f>
        <v>0</v>
      </c>
      <c r="T104" s="14" t="str">
        <f aca="false">IF(N104="Closed Won","closed",IF(S104&lt;0,"past closed",IF(S104&lt;=10,"update","on track")))</f>
        <v>update</v>
      </c>
      <c r="U104" s="14" t="str">
        <f aca="false">IF(H104="","No D&amp;B match",IF(TRIM(G104)=TRIM(H104),"Match","Mismatch"))</f>
        <v>Match</v>
      </c>
      <c r="V104" s="14" t="str">
        <f aca="false">IF(K104="","No D&amp;B match",IF(J104="","Missing in CRM",IF(J104=K104,"Match","Mismatch")))</f>
        <v>Missing in CRM</v>
      </c>
      <c r="W104" s="14" t="str">
        <f aca="false">IF(M104="","No D&amp;B match",IF(L104="","Missing in CRM",IF(L104=M104,"Match","Mismatch")))</f>
        <v>Missing in CRM</v>
      </c>
      <c r="X104" s="14" t="n">
        <f aca="false">COUNTIF(U104:W104,"&lt;&gt;Match")+IF(T104="past closed",1,0)</f>
        <v>2</v>
      </c>
      <c r="Y104" s="14" t="str">
        <f aca="false">IF(X104=0,"Clean","Review")</f>
        <v>Review</v>
      </c>
    </row>
    <row r="105" customFormat="false" ht="15" hidden="false" customHeight="false" outlineLevel="0" collapsed="false">
      <c r="A105" s="14" t="s">
        <v>383</v>
      </c>
      <c r="B105" s="14" t="s">
        <v>691</v>
      </c>
      <c r="C105" s="14" t="s">
        <v>95</v>
      </c>
      <c r="D105" s="14" t="s">
        <v>34</v>
      </c>
      <c r="E105" s="14" t="s">
        <v>692</v>
      </c>
      <c r="F105" s="14" t="s">
        <v>187</v>
      </c>
      <c r="G105" s="14" t="s">
        <v>386</v>
      </c>
      <c r="H105" s="14" t="s">
        <v>386</v>
      </c>
      <c r="I105" s="14" t="s">
        <v>387</v>
      </c>
      <c r="J105" s="14" t="n">
        <v>5511</v>
      </c>
      <c r="K105" s="14" t="n">
        <v>5511</v>
      </c>
      <c r="L105" s="14" t="n">
        <v>732167482</v>
      </c>
      <c r="M105" s="14" t="n">
        <v>732167482</v>
      </c>
      <c r="N105" s="14" t="s">
        <v>178</v>
      </c>
      <c r="O105" s="15" t="n">
        <v>45791</v>
      </c>
      <c r="P105" s="15" t="n">
        <v>46081</v>
      </c>
      <c r="Q105" s="14" t="s">
        <v>270</v>
      </c>
      <c r="R105" s="16" t="n">
        <v>420800</v>
      </c>
      <c r="S105" s="14" t="n">
        <f aca="false">IF(N105="Closed Won","",P105-ReportDate)</f>
        <v>226</v>
      </c>
      <c r="T105" s="14" t="str">
        <f aca="false">IF(N105="Closed Won","closed",IF(S105&lt;0,"past closed",IF(S105&lt;=10,"update","on track")))</f>
        <v>on track</v>
      </c>
      <c r="U105" s="14" t="str">
        <f aca="false">IF(H105="","No D&amp;B match",IF(TRIM(G105)=TRIM(H105),"Match","Mismatch"))</f>
        <v>Match</v>
      </c>
      <c r="V105" s="14" t="str">
        <f aca="false">IF(K105="","No D&amp;B match",IF(J105="","Missing in CRM",IF(J105=K105,"Match","Mismatch")))</f>
        <v>Match</v>
      </c>
      <c r="W105" s="14" t="str">
        <f aca="false">IF(M105="","No D&amp;B match",IF(L105="","Missing in CRM",IF(L105=M105,"Match","Mismatch")))</f>
        <v>Match</v>
      </c>
      <c r="X105" s="14" t="n">
        <f aca="false">COUNTIF(U105:W105,"&lt;&gt;Match")+IF(T105="past closed",1,0)</f>
        <v>0</v>
      </c>
      <c r="Y105" s="14" t="str">
        <f aca="false">IF(X105=0,"Clean","Review")</f>
        <v>Clean</v>
      </c>
    </row>
    <row r="106" customFormat="false" ht="15" hidden="false" customHeight="false" outlineLevel="0" collapsed="false">
      <c r="A106" s="14" t="s">
        <v>101</v>
      </c>
      <c r="B106" s="14" t="s">
        <v>102</v>
      </c>
      <c r="C106" s="14" t="s">
        <v>103</v>
      </c>
      <c r="D106" s="14" t="s">
        <v>32</v>
      </c>
      <c r="E106" s="14" t="s">
        <v>104</v>
      </c>
      <c r="F106" s="14" t="s">
        <v>105</v>
      </c>
      <c r="G106" s="14" t="s">
        <v>106</v>
      </c>
      <c r="H106" s="14" t="s">
        <v>106</v>
      </c>
      <c r="I106" s="14" t="s">
        <v>381</v>
      </c>
      <c r="J106" s="14" t="n">
        <v>5122</v>
      </c>
      <c r="K106" s="14" t="n">
        <v>5122</v>
      </c>
      <c r="L106" s="14" t="n">
        <v>189794978</v>
      </c>
      <c r="M106" s="14" t="n">
        <v>189794978</v>
      </c>
      <c r="N106" s="14" t="s">
        <v>107</v>
      </c>
      <c r="O106" s="15" t="n">
        <v>45310</v>
      </c>
      <c r="P106" s="15" t="n">
        <v>45466</v>
      </c>
      <c r="Q106" s="14" t="s">
        <v>64</v>
      </c>
      <c r="R106" s="16" t="n">
        <v>83600</v>
      </c>
      <c r="S106" s="14" t="n">
        <f aca="false">IF(N106="Closed Won","",P106-ReportDate)</f>
        <v>-389</v>
      </c>
      <c r="T106" s="14" t="str">
        <f aca="false">IF(N106="Closed Won","closed",IF(S106&lt;0,"past closed",IF(S106&lt;=10,"update","on track")))</f>
        <v>past closed</v>
      </c>
      <c r="U106" s="14" t="str">
        <f aca="false">IF(H106="","No D&amp;B match",IF(TRIM(G106)=TRIM(H106),"Match","Mismatch"))</f>
        <v>Match</v>
      </c>
      <c r="V106" s="14" t="str">
        <f aca="false">IF(K106="","No D&amp;B match",IF(J106="","Missing in CRM",IF(J106=K106,"Match","Mismatch")))</f>
        <v>Match</v>
      </c>
      <c r="W106" s="14" t="str">
        <f aca="false">IF(M106="","No D&amp;B match",IF(L106="","Missing in CRM",IF(L106=M106,"Match","Mismatch")))</f>
        <v>Match</v>
      </c>
      <c r="X106" s="14" t="n">
        <f aca="false">COUNTIF(U106:W106,"&lt;&gt;Match")+IF(T106="past closed",1,0)</f>
        <v>1</v>
      </c>
      <c r="Y106" s="14" t="str">
        <f aca="false">IF(X106=0,"Clean","Review")</f>
        <v>Review</v>
      </c>
    </row>
    <row r="107" customFormat="false" ht="15" hidden="false" customHeight="false" outlineLevel="0" collapsed="false">
      <c r="A107" s="14" t="s">
        <v>693</v>
      </c>
      <c r="B107" s="14" t="s">
        <v>694</v>
      </c>
      <c r="C107" s="14" t="s">
        <v>144</v>
      </c>
      <c r="D107" s="14" t="s">
        <v>34</v>
      </c>
      <c r="E107" s="14" t="s">
        <v>695</v>
      </c>
      <c r="F107" s="14" t="s">
        <v>146</v>
      </c>
      <c r="G107" s="14" t="s">
        <v>696</v>
      </c>
      <c r="H107" s="14" t="s">
        <v>696</v>
      </c>
      <c r="I107" s="14" t="s">
        <v>396</v>
      </c>
      <c r="J107" s="14" t="n">
        <v>5122</v>
      </c>
      <c r="K107" s="14" t="n">
        <v>7011</v>
      </c>
      <c r="L107" s="14" t="n">
        <v>484389292</v>
      </c>
      <c r="M107" s="14" t="n">
        <v>281583449</v>
      </c>
      <c r="N107" s="14" t="s">
        <v>107</v>
      </c>
      <c r="O107" s="15" t="n">
        <v>45438</v>
      </c>
      <c r="P107" s="15" t="n">
        <v>45720</v>
      </c>
      <c r="Q107" s="14" t="s">
        <v>85</v>
      </c>
      <c r="R107" s="16" t="n">
        <v>21100</v>
      </c>
      <c r="S107" s="14" t="n">
        <f aca="false">IF(N107="Closed Won","",P107-ReportDate)</f>
        <v>-135</v>
      </c>
      <c r="T107" s="14" t="str">
        <f aca="false">IF(N107="Closed Won","closed",IF(S107&lt;0,"past closed",IF(S107&lt;=10,"update","on track")))</f>
        <v>past closed</v>
      </c>
      <c r="U107" s="14" t="str">
        <f aca="false">IF(H107="","No D&amp;B match",IF(TRIM(G107)=TRIM(H107),"Match","Mismatch"))</f>
        <v>Match</v>
      </c>
      <c r="V107" s="14" t="str">
        <f aca="false">IF(K107="","No D&amp;B match",IF(J107="","Missing in CRM",IF(J107=K107,"Match","Mismatch")))</f>
        <v>Mismatch</v>
      </c>
      <c r="W107" s="14" t="str">
        <f aca="false">IF(M107="","No D&amp;B match",IF(L107="","Missing in CRM",IF(L107=M107,"Match","Mismatch")))</f>
        <v>Mismatch</v>
      </c>
      <c r="X107" s="14" t="n">
        <f aca="false">COUNTIF(U107:W107,"&lt;&gt;Match")+IF(T107="past closed",1,0)</f>
        <v>3</v>
      </c>
      <c r="Y107" s="14" t="str">
        <f aca="false">IF(X107=0,"Clean","Review")</f>
        <v>Review</v>
      </c>
    </row>
    <row r="108" customFormat="false" ht="15" hidden="false" customHeight="false" outlineLevel="0" collapsed="false">
      <c r="A108" s="14" t="s">
        <v>260</v>
      </c>
      <c r="B108" s="14" t="s">
        <v>261</v>
      </c>
      <c r="C108" s="14" t="s">
        <v>262</v>
      </c>
      <c r="D108" s="14" t="s">
        <v>38</v>
      </c>
      <c r="E108" s="14" t="s">
        <v>263</v>
      </c>
      <c r="F108" s="14" t="s">
        <v>264</v>
      </c>
      <c r="G108" s="14" t="s">
        <v>265</v>
      </c>
      <c r="H108" s="14" t="s">
        <v>265</v>
      </c>
      <c r="I108" s="14" t="s">
        <v>387</v>
      </c>
      <c r="J108" s="14" t="n">
        <v>5511</v>
      </c>
      <c r="K108" s="14" t="n">
        <v>5511</v>
      </c>
      <c r="L108" s="14" t="n">
        <v>159175909</v>
      </c>
      <c r="M108" s="14" t="n">
        <v>159175909</v>
      </c>
      <c r="N108" s="14" t="s">
        <v>71</v>
      </c>
      <c r="O108" s="15" t="n">
        <v>45456</v>
      </c>
      <c r="P108" s="15" t="n">
        <v>45541</v>
      </c>
      <c r="Q108" s="14" t="s">
        <v>100</v>
      </c>
      <c r="R108" s="16" t="n">
        <v>24600</v>
      </c>
      <c r="S108" s="14" t="n">
        <f aca="false">IF(N108="Closed Won","",P108-ReportDate)</f>
        <v>-314</v>
      </c>
      <c r="T108" s="14" t="str">
        <f aca="false">IF(N108="Closed Won","closed",IF(S108&lt;0,"past closed",IF(S108&lt;=10,"update","on track")))</f>
        <v>past closed</v>
      </c>
      <c r="U108" s="14" t="str">
        <f aca="false">IF(H108="","No D&amp;B match",IF(TRIM(G108)=TRIM(H108),"Match","Mismatch"))</f>
        <v>Match</v>
      </c>
      <c r="V108" s="14" t="str">
        <f aca="false">IF(K108="","No D&amp;B match",IF(J108="","Missing in CRM",IF(J108=K108,"Match","Mismatch")))</f>
        <v>Match</v>
      </c>
      <c r="W108" s="14" t="str">
        <f aca="false">IF(M108="","No D&amp;B match",IF(L108="","Missing in CRM",IF(L108=M108,"Match","Mismatch")))</f>
        <v>Match</v>
      </c>
      <c r="X108" s="14" t="n">
        <f aca="false">COUNTIF(U108:W108,"&lt;&gt;Match")+IF(T108="past closed",1,0)</f>
        <v>1</v>
      </c>
      <c r="Y108" s="14" t="str">
        <f aca="false">IF(X108=0,"Clean","Review")</f>
        <v>Review</v>
      </c>
    </row>
    <row r="109" customFormat="false" ht="15" hidden="false" customHeight="false" outlineLevel="0" collapsed="false">
      <c r="A109" s="14" t="s">
        <v>697</v>
      </c>
      <c r="B109" s="14" t="s">
        <v>698</v>
      </c>
      <c r="C109" s="14" t="s">
        <v>426</v>
      </c>
      <c r="D109" s="14" t="s">
        <v>36</v>
      </c>
      <c r="E109" s="14" t="s">
        <v>699</v>
      </c>
      <c r="F109" s="14" t="s">
        <v>90</v>
      </c>
      <c r="G109" s="14" t="s">
        <v>700</v>
      </c>
      <c r="H109" s="14" t="s">
        <v>700</v>
      </c>
      <c r="I109" s="14" t="s">
        <v>387</v>
      </c>
      <c r="J109" s="14" t="n">
        <v>5511</v>
      </c>
      <c r="K109" s="14" t="n">
        <v>5511</v>
      </c>
      <c r="L109" s="14" t="n">
        <v>510713614</v>
      </c>
      <c r="M109" s="14" t="n">
        <v>510713614</v>
      </c>
      <c r="N109" s="14" t="s">
        <v>107</v>
      </c>
      <c r="O109" s="15" t="n">
        <v>45647</v>
      </c>
      <c r="P109" s="15" t="n">
        <v>45720</v>
      </c>
      <c r="Q109" s="14" t="s">
        <v>85</v>
      </c>
      <c r="R109" s="16" t="n">
        <v>57500</v>
      </c>
      <c r="S109" s="14" t="n">
        <f aca="false">IF(N109="Closed Won","",P109-ReportDate)</f>
        <v>-135</v>
      </c>
      <c r="T109" s="14" t="str">
        <f aca="false">IF(N109="Closed Won","closed",IF(S109&lt;0,"past closed",IF(S109&lt;=10,"update","on track")))</f>
        <v>past closed</v>
      </c>
      <c r="U109" s="14" t="str">
        <f aca="false">IF(H109="","No D&amp;B match",IF(TRIM(G109)=TRIM(H109),"Match","Mismatch"))</f>
        <v>Match</v>
      </c>
      <c r="V109" s="14" t="str">
        <f aca="false">IF(K109="","No D&amp;B match",IF(J109="","Missing in CRM",IF(J109=K109,"Match","Mismatch")))</f>
        <v>Match</v>
      </c>
      <c r="W109" s="14" t="str">
        <f aca="false">IF(M109="","No D&amp;B match",IF(L109="","Missing in CRM",IF(L109=M109,"Match","Mismatch")))</f>
        <v>Match</v>
      </c>
      <c r="X109" s="14" t="n">
        <f aca="false">COUNTIF(U109:W109,"&lt;&gt;Match")+IF(T109="past closed",1,0)</f>
        <v>1</v>
      </c>
      <c r="Y109" s="14" t="str">
        <f aca="false">IF(X109=0,"Clean","Review")</f>
        <v>Review</v>
      </c>
    </row>
    <row r="110" customFormat="false" ht="15" hidden="false" customHeight="false" outlineLevel="0" collapsed="false">
      <c r="A110" s="14" t="s">
        <v>350</v>
      </c>
      <c r="B110" s="14" t="s">
        <v>701</v>
      </c>
      <c r="C110" s="14" t="s">
        <v>67</v>
      </c>
      <c r="D110" s="14" t="s">
        <v>35</v>
      </c>
      <c r="E110" s="14" t="s">
        <v>702</v>
      </c>
      <c r="F110" s="14" t="s">
        <v>129</v>
      </c>
      <c r="G110" s="14" t="s">
        <v>353</v>
      </c>
      <c r="H110" s="14" t="s">
        <v>353</v>
      </c>
      <c r="I110" s="14" t="s">
        <v>382</v>
      </c>
      <c r="J110" s="14" t="n">
        <v>6022</v>
      </c>
      <c r="K110" s="14" t="n">
        <v>6022</v>
      </c>
      <c r="L110" s="14" t="n">
        <v>692056865</v>
      </c>
      <c r="M110" s="14" t="n">
        <v>692056865</v>
      </c>
      <c r="N110" s="14" t="s">
        <v>99</v>
      </c>
      <c r="O110" s="15" t="n">
        <v>45775</v>
      </c>
      <c r="P110" s="15" t="n">
        <v>45777</v>
      </c>
      <c r="Q110" s="14" t="s">
        <v>203</v>
      </c>
      <c r="R110" s="16" t="n">
        <v>203300</v>
      </c>
      <c r="S110" s="14" t="str">
        <f aca="false">IF(N110="Closed Won","",P110-ReportDate)</f>
        <v/>
      </c>
      <c r="T110" s="14" t="str">
        <f aca="false">IF(N110="Closed Won","closed",IF(S110&lt;0,"past closed",IF(S110&lt;=10,"update","on track")))</f>
        <v>closed</v>
      </c>
      <c r="U110" s="14" t="str">
        <f aca="false">IF(H110="","No D&amp;B match",IF(TRIM(G110)=TRIM(H110),"Match","Mismatch"))</f>
        <v>Match</v>
      </c>
      <c r="V110" s="14" t="str">
        <f aca="false">IF(K110="","No D&amp;B match",IF(J110="","Missing in CRM",IF(J110=K110,"Match","Mismatch")))</f>
        <v>Match</v>
      </c>
      <c r="W110" s="14" t="str">
        <f aca="false">IF(M110="","No D&amp;B match",IF(L110="","Missing in CRM",IF(L110=M110,"Match","Mismatch")))</f>
        <v>Match</v>
      </c>
      <c r="X110" s="14" t="n">
        <f aca="false">COUNTIF(U110:W110,"&lt;&gt;Match")+IF(T110="past closed",1,0)</f>
        <v>0</v>
      </c>
      <c r="Y110" s="14" t="str">
        <f aca="false">IF(X110=0,"Clean","Review")</f>
        <v>Clean</v>
      </c>
    </row>
    <row r="111" customFormat="false" ht="15" hidden="false" customHeight="false" outlineLevel="0" collapsed="false">
      <c r="A111" s="14" t="s">
        <v>703</v>
      </c>
      <c r="B111" s="14" t="s">
        <v>704</v>
      </c>
      <c r="C111" s="14" t="s">
        <v>88</v>
      </c>
      <c r="D111" s="14" t="s">
        <v>36</v>
      </c>
      <c r="E111" s="14" t="s">
        <v>705</v>
      </c>
      <c r="F111" s="14" t="s">
        <v>152</v>
      </c>
      <c r="G111" s="14" t="s">
        <v>706</v>
      </c>
      <c r="H111" s="14"/>
      <c r="I111" s="14" t="s">
        <v>382</v>
      </c>
      <c r="J111" s="14"/>
      <c r="K111" s="14"/>
      <c r="L111" s="14"/>
      <c r="M111" s="14"/>
      <c r="N111" s="14" t="s">
        <v>63</v>
      </c>
      <c r="O111" s="15" t="n">
        <v>45387</v>
      </c>
      <c r="P111" s="15" t="n">
        <v>45623</v>
      </c>
      <c r="Q111" s="14" t="s">
        <v>92</v>
      </c>
      <c r="R111" s="16" t="n">
        <v>132700</v>
      </c>
      <c r="S111" s="14" t="n">
        <f aca="false">IF(N111="Closed Won","",P111-ReportDate)</f>
        <v>-232</v>
      </c>
      <c r="T111" s="14" t="str">
        <f aca="false">IF(N111="Closed Won","closed",IF(S111&lt;0,"past closed",IF(S111&lt;=10,"update","on track")))</f>
        <v>past closed</v>
      </c>
      <c r="U111" s="14" t="str">
        <f aca="false">IF(H111="","No D&amp;B match",IF(TRIM(G111)=TRIM(H111),"Match","Mismatch"))</f>
        <v>No D&amp;B match</v>
      </c>
      <c r="V111" s="14" t="str">
        <f aca="false">IF(K111="","No D&amp;B match",IF(J111="","Missing in CRM",IF(J111=K111,"Match","Mismatch")))</f>
        <v>No D&amp;B match</v>
      </c>
      <c r="W111" s="14" t="str">
        <f aca="false">IF(M111="","No D&amp;B match",IF(L111="","Missing in CRM",IF(L111=M111,"Match","Mismatch")))</f>
        <v>No D&amp;B match</v>
      </c>
      <c r="X111" s="14" t="n">
        <f aca="false">COUNTIF(U111:W111,"&lt;&gt;Match")+IF(T111="past closed",1,0)</f>
        <v>4</v>
      </c>
      <c r="Y111" s="14" t="str">
        <f aca="false">IF(X111=0,"Clean","Review")</f>
        <v>Review</v>
      </c>
    </row>
    <row r="112" customFormat="false" ht="15" hidden="false" customHeight="false" outlineLevel="0" collapsed="false">
      <c r="A112" s="14" t="s">
        <v>707</v>
      </c>
      <c r="B112" s="14" t="s">
        <v>708</v>
      </c>
      <c r="C112" s="14" t="s">
        <v>161</v>
      </c>
      <c r="D112" s="14" t="s">
        <v>35</v>
      </c>
      <c r="E112" s="14" t="s">
        <v>709</v>
      </c>
      <c r="F112" s="14" t="s">
        <v>250</v>
      </c>
      <c r="G112" s="14" t="s">
        <v>710</v>
      </c>
      <c r="H112" s="14" t="s">
        <v>710</v>
      </c>
      <c r="I112" s="14" t="s">
        <v>419</v>
      </c>
      <c r="J112" s="14" t="n">
        <v>6022</v>
      </c>
      <c r="K112" s="14" t="n">
        <v>5999</v>
      </c>
      <c r="L112" s="14" t="n">
        <v>844313315</v>
      </c>
      <c r="M112" s="14" t="n">
        <v>310855064</v>
      </c>
      <c r="N112" s="14" t="s">
        <v>63</v>
      </c>
      <c r="O112" s="15" t="n">
        <v>45406</v>
      </c>
      <c r="P112" s="15" t="n">
        <v>45514</v>
      </c>
      <c r="Q112" s="14" t="s">
        <v>100</v>
      </c>
      <c r="R112" s="16" t="n">
        <v>384500</v>
      </c>
      <c r="S112" s="14" t="n">
        <f aca="false">IF(N112="Closed Won","",P112-ReportDate)</f>
        <v>-341</v>
      </c>
      <c r="T112" s="14" t="str">
        <f aca="false">IF(N112="Closed Won","closed",IF(S112&lt;0,"past closed",IF(S112&lt;=10,"update","on track")))</f>
        <v>past closed</v>
      </c>
      <c r="U112" s="14" t="str">
        <f aca="false">IF(H112="","No D&amp;B match",IF(TRIM(G112)=TRIM(H112),"Match","Mismatch"))</f>
        <v>Match</v>
      </c>
      <c r="V112" s="14" t="str">
        <f aca="false">IF(K112="","No D&amp;B match",IF(J112="","Missing in CRM",IF(J112=K112,"Match","Mismatch")))</f>
        <v>Mismatch</v>
      </c>
      <c r="W112" s="14" t="str">
        <f aca="false">IF(M112="","No D&amp;B match",IF(L112="","Missing in CRM",IF(L112=M112,"Match","Mismatch")))</f>
        <v>Mismatch</v>
      </c>
      <c r="X112" s="14" t="n">
        <f aca="false">COUNTIF(U112:W112,"&lt;&gt;Match")+IF(T112="past closed",1,0)</f>
        <v>3</v>
      </c>
      <c r="Y112" s="14" t="str">
        <f aca="false">IF(X112=0,"Clean","Review")</f>
        <v>Review</v>
      </c>
    </row>
    <row r="113" customFormat="false" ht="15" hidden="false" customHeight="false" outlineLevel="0" collapsed="false">
      <c r="A113" s="14" t="s">
        <v>711</v>
      </c>
      <c r="B113" s="14" t="s">
        <v>712</v>
      </c>
      <c r="C113" s="14" t="s">
        <v>95</v>
      </c>
      <c r="D113" s="14" t="s">
        <v>34</v>
      </c>
      <c r="E113" s="14" t="s">
        <v>713</v>
      </c>
      <c r="F113" s="14" t="s">
        <v>187</v>
      </c>
      <c r="G113" s="14" t="s">
        <v>714</v>
      </c>
      <c r="H113" s="14" t="s">
        <v>714</v>
      </c>
      <c r="I113" s="14" t="s">
        <v>468</v>
      </c>
      <c r="J113" s="14" t="n">
        <v>8062</v>
      </c>
      <c r="K113" s="14" t="n">
        <v>8062</v>
      </c>
      <c r="L113" s="14" t="n">
        <v>547254027</v>
      </c>
      <c r="M113" s="14" t="n">
        <v>547254027</v>
      </c>
      <c r="N113" s="14" t="s">
        <v>99</v>
      </c>
      <c r="O113" s="15" t="n">
        <v>45742</v>
      </c>
      <c r="P113" s="15" t="n">
        <v>45765</v>
      </c>
      <c r="Q113" s="14" t="s">
        <v>203</v>
      </c>
      <c r="R113" s="16" t="n">
        <v>127300</v>
      </c>
      <c r="S113" s="14" t="str">
        <f aca="false">IF(N113="Closed Won","",P113-ReportDate)</f>
        <v/>
      </c>
      <c r="T113" s="14" t="str">
        <f aca="false">IF(N113="Closed Won","closed",IF(S113&lt;0,"past closed",IF(S113&lt;=10,"update","on track")))</f>
        <v>closed</v>
      </c>
      <c r="U113" s="14" t="str">
        <f aca="false">IF(H113="","No D&amp;B match",IF(TRIM(G113)=TRIM(H113),"Match","Mismatch"))</f>
        <v>Match</v>
      </c>
      <c r="V113" s="14" t="str">
        <f aca="false">IF(K113="","No D&amp;B match",IF(J113="","Missing in CRM",IF(J113=K113,"Match","Mismatch")))</f>
        <v>Match</v>
      </c>
      <c r="W113" s="14" t="str">
        <f aca="false">IF(M113="","No D&amp;B match",IF(L113="","Missing in CRM",IF(L113=M113,"Match","Mismatch")))</f>
        <v>Match</v>
      </c>
      <c r="X113" s="14" t="n">
        <f aca="false">COUNTIF(U113:W113,"&lt;&gt;Match")+IF(T113="past closed",1,0)</f>
        <v>0</v>
      </c>
      <c r="Y113" s="14" t="str">
        <f aca="false">IF(X113=0,"Clean","Review")</f>
        <v>Clean</v>
      </c>
    </row>
    <row r="114" customFormat="false" ht="15" hidden="false" customHeight="false" outlineLevel="0" collapsed="false">
      <c r="A114" s="14" t="s">
        <v>715</v>
      </c>
      <c r="B114" s="14" t="s">
        <v>716</v>
      </c>
      <c r="C114" s="14" t="s">
        <v>95</v>
      </c>
      <c r="D114" s="14" t="s">
        <v>34</v>
      </c>
      <c r="E114" s="14" t="s">
        <v>717</v>
      </c>
      <c r="F114" s="14" t="s">
        <v>187</v>
      </c>
      <c r="G114" s="14" t="s">
        <v>718</v>
      </c>
      <c r="H114" s="14" t="s">
        <v>719</v>
      </c>
      <c r="I114" s="14" t="s">
        <v>381</v>
      </c>
      <c r="J114" s="14" t="n">
        <v>5122</v>
      </c>
      <c r="K114" s="14" t="n">
        <v>5122</v>
      </c>
      <c r="L114" s="14" t="n">
        <v>790781282</v>
      </c>
      <c r="M114" s="14" t="n">
        <v>790781282</v>
      </c>
      <c r="N114" s="14" t="s">
        <v>178</v>
      </c>
      <c r="O114" s="15" t="n">
        <v>45657</v>
      </c>
      <c r="P114" s="15" t="n">
        <v>45771</v>
      </c>
      <c r="Q114" s="14" t="s">
        <v>203</v>
      </c>
      <c r="R114" s="16" t="n">
        <v>195500</v>
      </c>
      <c r="S114" s="14" t="n">
        <f aca="false">IF(N114="Closed Won","",P114-ReportDate)</f>
        <v>-84</v>
      </c>
      <c r="T114" s="14" t="str">
        <f aca="false">IF(N114="Closed Won","closed",IF(S114&lt;0,"past closed",IF(S114&lt;=10,"update","on track")))</f>
        <v>past closed</v>
      </c>
      <c r="U114" s="14" t="str">
        <f aca="false">IF(H114="","No D&amp;B match",IF(TRIM(G114)=TRIM(H114),"Match","Mismatch"))</f>
        <v>Mismatch</v>
      </c>
      <c r="V114" s="14" t="str">
        <f aca="false">IF(K114="","No D&amp;B match",IF(J114="","Missing in CRM",IF(J114=K114,"Match","Mismatch")))</f>
        <v>Match</v>
      </c>
      <c r="W114" s="14" t="str">
        <f aca="false">IF(M114="","No D&amp;B match",IF(L114="","Missing in CRM",IF(L114=M114,"Match","Mismatch")))</f>
        <v>Match</v>
      </c>
      <c r="X114" s="14" t="n">
        <f aca="false">COUNTIF(U114:W114,"&lt;&gt;Match")+IF(T114="past closed",1,0)</f>
        <v>2</v>
      </c>
      <c r="Y114" s="14" t="str">
        <f aca="false">IF(X114=0,"Clean","Review")</f>
        <v>Review</v>
      </c>
    </row>
    <row r="115" customFormat="false" ht="15" hidden="false" customHeight="false" outlineLevel="0" collapsed="false">
      <c r="A115" s="14" t="s">
        <v>720</v>
      </c>
      <c r="B115" s="14" t="s">
        <v>721</v>
      </c>
      <c r="C115" s="14" t="s">
        <v>330</v>
      </c>
      <c r="D115" s="14" t="s">
        <v>33</v>
      </c>
      <c r="E115" s="14" t="s">
        <v>722</v>
      </c>
      <c r="F115" s="14" t="s">
        <v>643</v>
      </c>
      <c r="G115" s="14" t="s">
        <v>723</v>
      </c>
      <c r="H115" s="14" t="s">
        <v>723</v>
      </c>
      <c r="I115" s="14" t="s">
        <v>381</v>
      </c>
      <c r="J115" s="14" t="n">
        <v>5122</v>
      </c>
      <c r="K115" s="14" t="n">
        <v>5122</v>
      </c>
      <c r="L115" s="14" t="n">
        <v>605196619</v>
      </c>
      <c r="M115" s="14" t="n">
        <v>605196619</v>
      </c>
      <c r="N115" s="14" t="s">
        <v>63</v>
      </c>
      <c r="O115" s="15" t="n">
        <v>45588</v>
      </c>
      <c r="P115" s="15" t="n">
        <v>45714</v>
      </c>
      <c r="Q115" s="14" t="s">
        <v>85</v>
      </c>
      <c r="R115" s="16" t="n">
        <v>275400</v>
      </c>
      <c r="S115" s="14" t="n">
        <f aca="false">IF(N115="Closed Won","",P115-ReportDate)</f>
        <v>-141</v>
      </c>
      <c r="T115" s="14" t="str">
        <f aca="false">IF(N115="Closed Won","closed",IF(S115&lt;0,"past closed",IF(S115&lt;=10,"update","on track")))</f>
        <v>past closed</v>
      </c>
      <c r="U115" s="14" t="str">
        <f aca="false">IF(H115="","No D&amp;B match",IF(TRIM(G115)=TRIM(H115),"Match","Mismatch"))</f>
        <v>Match</v>
      </c>
      <c r="V115" s="14" t="str">
        <f aca="false">IF(K115="","No D&amp;B match",IF(J115="","Missing in CRM",IF(J115=K115,"Match","Mismatch")))</f>
        <v>Match</v>
      </c>
      <c r="W115" s="14" t="str">
        <f aca="false">IF(M115="","No D&amp;B match",IF(L115="","Missing in CRM",IF(L115=M115,"Match","Mismatch")))</f>
        <v>Match</v>
      </c>
      <c r="X115" s="14" t="n">
        <f aca="false">COUNTIF(U115:W115,"&lt;&gt;Match")+IF(T115="past closed",1,0)</f>
        <v>1</v>
      </c>
      <c r="Y115" s="14" t="str">
        <f aca="false">IF(X115=0,"Clean","Review")</f>
        <v>Review</v>
      </c>
    </row>
    <row r="116" customFormat="false" ht="15" hidden="false" customHeight="false" outlineLevel="0" collapsed="false">
      <c r="A116" s="14" t="s">
        <v>724</v>
      </c>
      <c r="B116" s="14" t="s">
        <v>725</v>
      </c>
      <c r="C116" s="14" t="s">
        <v>291</v>
      </c>
      <c r="D116" s="14" t="s">
        <v>32</v>
      </c>
      <c r="E116" s="14" t="s">
        <v>726</v>
      </c>
      <c r="F116" s="14" t="s">
        <v>157</v>
      </c>
      <c r="G116" s="14" t="s">
        <v>727</v>
      </c>
      <c r="H116" s="14" t="s">
        <v>728</v>
      </c>
      <c r="I116" s="14" t="s">
        <v>375</v>
      </c>
      <c r="J116" s="14" t="n">
        <v>4841</v>
      </c>
      <c r="K116" s="14" t="n">
        <v>4841</v>
      </c>
      <c r="L116" s="14" t="n">
        <v>620186277</v>
      </c>
      <c r="M116" s="14" t="n">
        <v>620186277</v>
      </c>
      <c r="N116" s="14" t="s">
        <v>63</v>
      </c>
      <c r="O116" s="15" t="n">
        <v>45461</v>
      </c>
      <c r="P116" s="15" t="n">
        <v>45548</v>
      </c>
      <c r="Q116" s="14" t="s">
        <v>100</v>
      </c>
      <c r="R116" s="16" t="n">
        <v>84700</v>
      </c>
      <c r="S116" s="14" t="n">
        <f aca="false">IF(N116="Closed Won","",P116-ReportDate)</f>
        <v>-307</v>
      </c>
      <c r="T116" s="14" t="str">
        <f aca="false">IF(N116="Closed Won","closed",IF(S116&lt;0,"past closed",IF(S116&lt;=10,"update","on track")))</f>
        <v>past closed</v>
      </c>
      <c r="U116" s="14" t="str">
        <f aca="false">IF(H116="","No D&amp;B match",IF(TRIM(G116)=TRIM(H116),"Match","Mismatch"))</f>
        <v>Mismatch</v>
      </c>
      <c r="V116" s="14" t="str">
        <f aca="false">IF(K116="","No D&amp;B match",IF(J116="","Missing in CRM",IF(J116=K116,"Match","Mismatch")))</f>
        <v>Match</v>
      </c>
      <c r="W116" s="14" t="str">
        <f aca="false">IF(M116="","No D&amp;B match",IF(L116="","Missing in CRM",IF(L116=M116,"Match","Mismatch")))</f>
        <v>Match</v>
      </c>
      <c r="X116" s="14" t="n">
        <f aca="false">COUNTIF(U116:W116,"&lt;&gt;Match")+IF(T116="past closed",1,0)</f>
        <v>2</v>
      </c>
      <c r="Y116" s="14" t="str">
        <f aca="false">IF(X116=0,"Clean","Review")</f>
        <v>Review</v>
      </c>
    </row>
    <row r="117" customFormat="false" ht="15" hidden="false" customHeight="false" outlineLevel="0" collapsed="false">
      <c r="A117" s="14" t="s">
        <v>337</v>
      </c>
      <c r="B117" s="14" t="s">
        <v>338</v>
      </c>
      <c r="C117" s="14" t="s">
        <v>116</v>
      </c>
      <c r="D117" s="14" t="s">
        <v>33</v>
      </c>
      <c r="E117" s="14" t="s">
        <v>339</v>
      </c>
      <c r="F117" s="14" t="s">
        <v>305</v>
      </c>
      <c r="G117" s="14" t="s">
        <v>340</v>
      </c>
      <c r="H117" s="14" t="s">
        <v>340</v>
      </c>
      <c r="I117" s="14" t="s">
        <v>406</v>
      </c>
      <c r="J117" s="14" t="n">
        <v>7011</v>
      </c>
      <c r="K117" s="14" t="n">
        <v>5961</v>
      </c>
      <c r="L117" s="14" t="n">
        <v>899124554</v>
      </c>
      <c r="M117" s="14" t="n">
        <v>687743587</v>
      </c>
      <c r="N117" s="14" t="s">
        <v>63</v>
      </c>
      <c r="O117" s="15" t="n">
        <v>45694</v>
      </c>
      <c r="P117" s="15" t="n">
        <v>45795</v>
      </c>
      <c r="Q117" s="14" t="s">
        <v>203</v>
      </c>
      <c r="R117" s="16" t="n">
        <v>21300</v>
      </c>
      <c r="S117" s="14" t="n">
        <f aca="false">IF(N117="Closed Won","",P117-ReportDate)</f>
        <v>-60</v>
      </c>
      <c r="T117" s="14" t="str">
        <f aca="false">IF(N117="Closed Won","closed",IF(S117&lt;0,"past closed",IF(S117&lt;=10,"update","on track")))</f>
        <v>past closed</v>
      </c>
      <c r="U117" s="14" t="str">
        <f aca="false">IF(H117="","No D&amp;B match",IF(TRIM(G117)=TRIM(H117),"Match","Mismatch"))</f>
        <v>Match</v>
      </c>
      <c r="V117" s="14" t="str">
        <f aca="false">IF(K117="","No D&amp;B match",IF(J117="","Missing in CRM",IF(J117=K117,"Match","Mismatch")))</f>
        <v>Mismatch</v>
      </c>
      <c r="W117" s="14" t="str">
        <f aca="false">IF(M117="","No D&amp;B match",IF(L117="","Missing in CRM",IF(L117=M117,"Match","Mismatch")))</f>
        <v>Mismatch</v>
      </c>
      <c r="X117" s="14" t="n">
        <f aca="false">COUNTIF(U117:W117,"&lt;&gt;Match")+IF(T117="past closed",1,0)</f>
        <v>3</v>
      </c>
      <c r="Y117" s="14" t="str">
        <f aca="false">IF(X117=0,"Clean","Review")</f>
        <v>Review</v>
      </c>
    </row>
    <row r="118" customFormat="false" ht="15" hidden="false" customHeight="false" outlineLevel="0" collapsed="false">
      <c r="A118" s="14" t="s">
        <v>729</v>
      </c>
      <c r="B118" s="14" t="s">
        <v>730</v>
      </c>
      <c r="C118" s="14" t="s">
        <v>122</v>
      </c>
      <c r="D118" s="14" t="s">
        <v>32</v>
      </c>
      <c r="E118" s="14" t="s">
        <v>731</v>
      </c>
      <c r="F118" s="14" t="s">
        <v>105</v>
      </c>
      <c r="G118" s="14" t="s">
        <v>732</v>
      </c>
      <c r="H118" s="14" t="s">
        <v>732</v>
      </c>
      <c r="I118" s="14" t="s">
        <v>375</v>
      </c>
      <c r="J118" s="14" t="n">
        <v>4841</v>
      </c>
      <c r="K118" s="14" t="n">
        <v>4841</v>
      </c>
      <c r="L118" s="14" t="n">
        <v>388920559</v>
      </c>
      <c r="M118" s="14" t="n">
        <v>388920559</v>
      </c>
      <c r="N118" s="14" t="s">
        <v>107</v>
      </c>
      <c r="O118" s="15" t="n">
        <v>45509</v>
      </c>
      <c r="P118" s="15" t="n">
        <v>45673</v>
      </c>
      <c r="Q118" s="14" t="s">
        <v>85</v>
      </c>
      <c r="R118" s="16" t="n">
        <v>279300</v>
      </c>
      <c r="S118" s="14" t="n">
        <f aca="false">IF(N118="Closed Won","",P118-ReportDate)</f>
        <v>-182</v>
      </c>
      <c r="T118" s="14" t="str">
        <f aca="false">IF(N118="Closed Won","closed",IF(S118&lt;0,"past closed",IF(S118&lt;=10,"update","on track")))</f>
        <v>past closed</v>
      </c>
      <c r="U118" s="14" t="str">
        <f aca="false">IF(H118="","No D&amp;B match",IF(TRIM(G118)=TRIM(H118),"Match","Mismatch"))</f>
        <v>Match</v>
      </c>
      <c r="V118" s="14" t="str">
        <f aca="false">IF(K118="","No D&amp;B match",IF(J118="","Missing in CRM",IF(J118=K118,"Match","Mismatch")))</f>
        <v>Match</v>
      </c>
      <c r="W118" s="14" t="str">
        <f aca="false">IF(M118="","No D&amp;B match",IF(L118="","Missing in CRM",IF(L118=M118,"Match","Mismatch")))</f>
        <v>Match</v>
      </c>
      <c r="X118" s="14" t="n">
        <f aca="false">COUNTIF(U118:W118,"&lt;&gt;Match")+IF(T118="past closed",1,0)</f>
        <v>1</v>
      </c>
      <c r="Y118" s="14" t="str">
        <f aca="false">IF(X118=0,"Clean","Review")</f>
        <v>Review</v>
      </c>
    </row>
    <row r="119" customFormat="false" ht="15" hidden="false" customHeight="false" outlineLevel="0" collapsed="false">
      <c r="A119" s="14" t="s">
        <v>350</v>
      </c>
      <c r="B119" s="14" t="s">
        <v>733</v>
      </c>
      <c r="C119" s="14" t="s">
        <v>67</v>
      </c>
      <c r="D119" s="14" t="s">
        <v>35</v>
      </c>
      <c r="E119" s="14" t="s">
        <v>734</v>
      </c>
      <c r="F119" s="14" t="s">
        <v>69</v>
      </c>
      <c r="G119" s="14" t="s">
        <v>353</v>
      </c>
      <c r="H119" s="14" t="s">
        <v>353</v>
      </c>
      <c r="I119" s="14" t="s">
        <v>382</v>
      </c>
      <c r="J119" s="14" t="n">
        <v>6022</v>
      </c>
      <c r="K119" s="14" t="n">
        <v>6022</v>
      </c>
      <c r="L119" s="14" t="n">
        <v>692056865</v>
      </c>
      <c r="M119" s="14" t="n">
        <v>692056865</v>
      </c>
      <c r="N119" s="14" t="s">
        <v>107</v>
      </c>
      <c r="O119" s="15" t="n">
        <v>45509</v>
      </c>
      <c r="P119" s="15" t="n">
        <v>45706</v>
      </c>
      <c r="Q119" s="14" t="s">
        <v>85</v>
      </c>
      <c r="R119" s="16" t="n">
        <v>53400</v>
      </c>
      <c r="S119" s="14" t="n">
        <f aca="false">IF(N119="Closed Won","",P119-ReportDate)</f>
        <v>-149</v>
      </c>
      <c r="T119" s="14" t="str">
        <f aca="false">IF(N119="Closed Won","closed",IF(S119&lt;0,"past closed",IF(S119&lt;=10,"update","on track")))</f>
        <v>past closed</v>
      </c>
      <c r="U119" s="14" t="str">
        <f aca="false">IF(H119="","No D&amp;B match",IF(TRIM(G119)=TRIM(H119),"Match","Mismatch"))</f>
        <v>Match</v>
      </c>
      <c r="V119" s="14" t="str">
        <f aca="false">IF(K119="","No D&amp;B match",IF(J119="","Missing in CRM",IF(J119=K119,"Match","Mismatch")))</f>
        <v>Match</v>
      </c>
      <c r="W119" s="14" t="str">
        <f aca="false">IF(M119="","No D&amp;B match",IF(L119="","Missing in CRM",IF(L119=M119,"Match","Mismatch")))</f>
        <v>Match</v>
      </c>
      <c r="X119" s="14" t="n">
        <f aca="false">COUNTIF(U119:W119,"&lt;&gt;Match")+IF(T119="past closed",1,0)</f>
        <v>1</v>
      </c>
      <c r="Y119" s="14" t="str">
        <f aca="false">IF(X119=0,"Clean","Review")</f>
        <v>Review</v>
      </c>
    </row>
    <row r="120" customFormat="false" ht="15" hidden="false" customHeight="false" outlineLevel="0" collapsed="false">
      <c r="A120" s="14" t="s">
        <v>735</v>
      </c>
      <c r="B120" s="14" t="s">
        <v>736</v>
      </c>
      <c r="C120" s="14" t="s">
        <v>171</v>
      </c>
      <c r="D120" s="14" t="s">
        <v>33</v>
      </c>
      <c r="E120" s="14" t="s">
        <v>737</v>
      </c>
      <c r="F120" s="14" t="s">
        <v>432</v>
      </c>
      <c r="G120" s="14" t="s">
        <v>738</v>
      </c>
      <c r="H120" s="14" t="s">
        <v>738</v>
      </c>
      <c r="I120" s="14" t="s">
        <v>381</v>
      </c>
      <c r="J120" s="14" t="n">
        <v>5122</v>
      </c>
      <c r="K120" s="14" t="n">
        <v>5122</v>
      </c>
      <c r="L120" s="14" t="n">
        <v>121287738</v>
      </c>
      <c r="M120" s="14" t="n">
        <v>121287738</v>
      </c>
      <c r="N120" s="14" t="s">
        <v>107</v>
      </c>
      <c r="O120" s="15" t="n">
        <v>45670</v>
      </c>
      <c r="P120" s="15" t="n">
        <v>45969</v>
      </c>
      <c r="Q120" s="14" t="s">
        <v>72</v>
      </c>
      <c r="R120" s="16" t="n">
        <v>413300</v>
      </c>
      <c r="S120" s="14" t="n">
        <f aca="false">IF(N120="Closed Won","",P120-ReportDate)</f>
        <v>114</v>
      </c>
      <c r="T120" s="14" t="str">
        <f aca="false">IF(N120="Closed Won","closed",IF(S120&lt;0,"past closed",IF(S120&lt;=10,"update","on track")))</f>
        <v>on track</v>
      </c>
      <c r="U120" s="14" t="str">
        <f aca="false">IF(H120="","No D&amp;B match",IF(TRIM(G120)=TRIM(H120),"Match","Mismatch"))</f>
        <v>Match</v>
      </c>
      <c r="V120" s="14" t="str">
        <f aca="false">IF(K120="","No D&amp;B match",IF(J120="","Missing in CRM",IF(J120=K120,"Match","Mismatch")))</f>
        <v>Match</v>
      </c>
      <c r="W120" s="14" t="str">
        <f aca="false">IF(M120="","No D&amp;B match",IF(L120="","Missing in CRM",IF(L120=M120,"Match","Mismatch")))</f>
        <v>Match</v>
      </c>
      <c r="X120" s="14" t="n">
        <f aca="false">COUNTIF(U120:W120,"&lt;&gt;Match")+IF(T120="past closed",1,0)</f>
        <v>0</v>
      </c>
      <c r="Y120" s="14" t="str">
        <f aca="false">IF(X120=0,"Clean","Review")</f>
        <v>Clean</v>
      </c>
    </row>
    <row r="121" customFormat="false" ht="15" hidden="false" customHeight="false" outlineLevel="0" collapsed="false">
      <c r="A121" s="14" t="s">
        <v>739</v>
      </c>
      <c r="B121" s="14" t="s">
        <v>740</v>
      </c>
      <c r="C121" s="14" t="s">
        <v>88</v>
      </c>
      <c r="D121" s="14" t="s">
        <v>36</v>
      </c>
      <c r="E121" s="14" t="s">
        <v>741</v>
      </c>
      <c r="F121" s="14" t="s">
        <v>90</v>
      </c>
      <c r="G121" s="14" t="s">
        <v>742</v>
      </c>
      <c r="H121" s="14" t="s">
        <v>742</v>
      </c>
      <c r="I121" s="14" t="s">
        <v>419</v>
      </c>
      <c r="J121" s="14" t="n">
        <v>5999</v>
      </c>
      <c r="K121" s="14" t="n">
        <v>5999</v>
      </c>
      <c r="L121" s="14" t="n">
        <v>753657200</v>
      </c>
      <c r="M121" s="14" t="n">
        <v>753657200</v>
      </c>
      <c r="N121" s="14" t="s">
        <v>99</v>
      </c>
      <c r="O121" s="15" t="n">
        <v>45292</v>
      </c>
      <c r="P121" s="15" t="n">
        <v>45484</v>
      </c>
      <c r="Q121" s="14" t="s">
        <v>100</v>
      </c>
      <c r="R121" s="16" t="n">
        <v>82100</v>
      </c>
      <c r="S121" s="14" t="str">
        <f aca="false">IF(N121="Closed Won","",P121-ReportDate)</f>
        <v/>
      </c>
      <c r="T121" s="14" t="str">
        <f aca="false">IF(N121="Closed Won","closed",IF(S121&lt;0,"past closed",IF(S121&lt;=10,"update","on track")))</f>
        <v>closed</v>
      </c>
      <c r="U121" s="14" t="str">
        <f aca="false">IF(H121="","No D&amp;B match",IF(TRIM(G121)=TRIM(H121),"Match","Mismatch"))</f>
        <v>Match</v>
      </c>
      <c r="V121" s="14" t="str">
        <f aca="false">IF(K121="","No D&amp;B match",IF(J121="","Missing in CRM",IF(J121=K121,"Match","Mismatch")))</f>
        <v>Match</v>
      </c>
      <c r="W121" s="14" t="str">
        <f aca="false">IF(M121="","No D&amp;B match",IF(L121="","Missing in CRM",IF(L121=M121,"Match","Mismatch")))</f>
        <v>Match</v>
      </c>
      <c r="X121" s="14" t="n">
        <f aca="false">COUNTIF(U121:W121,"&lt;&gt;Match")+IF(T121="past closed",1,0)</f>
        <v>0</v>
      </c>
      <c r="Y121" s="14" t="str">
        <f aca="false">IF(X121=0,"Clean","Review")</f>
        <v>Clean</v>
      </c>
    </row>
    <row r="122" customFormat="false" ht="15" hidden="false" customHeight="false" outlineLevel="0" collapsed="false">
      <c r="A122" s="14" t="s">
        <v>743</v>
      </c>
      <c r="B122" s="14" t="s">
        <v>744</v>
      </c>
      <c r="C122" s="14" t="s">
        <v>75</v>
      </c>
      <c r="D122" s="14" t="s">
        <v>32</v>
      </c>
      <c r="E122" s="14" t="s">
        <v>745</v>
      </c>
      <c r="F122" s="14" t="s">
        <v>105</v>
      </c>
      <c r="G122" s="14" t="s">
        <v>746</v>
      </c>
      <c r="H122" s="14" t="s">
        <v>746</v>
      </c>
      <c r="I122" s="14" t="s">
        <v>419</v>
      </c>
      <c r="J122" s="14" t="n">
        <v>5999</v>
      </c>
      <c r="K122" s="14" t="n">
        <v>5999</v>
      </c>
      <c r="L122" s="14" t="n">
        <v>461097327</v>
      </c>
      <c r="M122" s="14" t="n">
        <v>461097327</v>
      </c>
      <c r="N122" s="14" t="s">
        <v>99</v>
      </c>
      <c r="O122" s="15" t="n">
        <v>45418</v>
      </c>
      <c r="P122" s="15" t="n">
        <v>45483</v>
      </c>
      <c r="Q122" s="14" t="s">
        <v>100</v>
      </c>
      <c r="R122" s="16" t="n">
        <v>47400</v>
      </c>
      <c r="S122" s="14" t="str">
        <f aca="false">IF(N122="Closed Won","",P122-ReportDate)</f>
        <v/>
      </c>
      <c r="T122" s="14" t="str">
        <f aca="false">IF(N122="Closed Won","closed",IF(S122&lt;0,"past closed",IF(S122&lt;=10,"update","on track")))</f>
        <v>closed</v>
      </c>
      <c r="U122" s="14" t="str">
        <f aca="false">IF(H122="","No D&amp;B match",IF(TRIM(G122)=TRIM(H122),"Match","Mismatch"))</f>
        <v>Match</v>
      </c>
      <c r="V122" s="14" t="str">
        <f aca="false">IF(K122="","No D&amp;B match",IF(J122="","Missing in CRM",IF(J122=K122,"Match","Mismatch")))</f>
        <v>Match</v>
      </c>
      <c r="W122" s="14" t="str">
        <f aca="false">IF(M122="","No D&amp;B match",IF(L122="","Missing in CRM",IF(L122=M122,"Match","Mismatch")))</f>
        <v>Match</v>
      </c>
      <c r="X122" s="14" t="n">
        <f aca="false">COUNTIF(U122:W122,"&lt;&gt;Match")+IF(T122="past closed",1,0)</f>
        <v>0</v>
      </c>
      <c r="Y122" s="14" t="str">
        <f aca="false">IF(X122=0,"Clean","Review")</f>
        <v>Clean</v>
      </c>
    </row>
    <row r="123" customFormat="false" ht="15" hidden="false" customHeight="false" outlineLevel="0" collapsed="false">
      <c r="A123" s="14" t="s">
        <v>747</v>
      </c>
      <c r="B123" s="14" t="s">
        <v>748</v>
      </c>
      <c r="C123" s="14" t="s">
        <v>262</v>
      </c>
      <c r="D123" s="14" t="s">
        <v>38</v>
      </c>
      <c r="E123" s="14" t="s">
        <v>749</v>
      </c>
      <c r="F123" s="14" t="s">
        <v>264</v>
      </c>
      <c r="G123" s="14" t="s">
        <v>750</v>
      </c>
      <c r="H123" s="14" t="s">
        <v>750</v>
      </c>
      <c r="I123" s="14" t="s">
        <v>381</v>
      </c>
      <c r="J123" s="14" t="n">
        <v>5122</v>
      </c>
      <c r="K123" s="14" t="n">
        <v>5122</v>
      </c>
      <c r="L123" s="14" t="n">
        <v>512704078</v>
      </c>
      <c r="M123" s="14" t="n">
        <v>512704078</v>
      </c>
      <c r="N123" s="14" t="s">
        <v>99</v>
      </c>
      <c r="O123" s="15" t="n">
        <v>45713</v>
      </c>
      <c r="P123" s="15" t="n">
        <v>45759</v>
      </c>
      <c r="Q123" s="14" t="s">
        <v>203</v>
      </c>
      <c r="R123" s="16" t="n">
        <v>155100</v>
      </c>
      <c r="S123" s="14" t="str">
        <f aca="false">IF(N123="Closed Won","",P123-ReportDate)</f>
        <v/>
      </c>
      <c r="T123" s="14" t="str">
        <f aca="false">IF(N123="Closed Won","closed",IF(S123&lt;0,"past closed",IF(S123&lt;=10,"update","on track")))</f>
        <v>closed</v>
      </c>
      <c r="U123" s="14" t="str">
        <f aca="false">IF(H123="","No D&amp;B match",IF(TRIM(G123)=TRIM(H123),"Match","Mismatch"))</f>
        <v>Match</v>
      </c>
      <c r="V123" s="14" t="str">
        <f aca="false">IF(K123="","No D&amp;B match",IF(J123="","Missing in CRM",IF(J123=K123,"Match","Mismatch")))</f>
        <v>Match</v>
      </c>
      <c r="W123" s="14" t="str">
        <f aca="false">IF(M123="","No D&amp;B match",IF(L123="","Missing in CRM",IF(L123=M123,"Match","Mismatch")))</f>
        <v>Match</v>
      </c>
      <c r="X123" s="14" t="n">
        <f aca="false">COUNTIF(U123:W123,"&lt;&gt;Match")+IF(T123="past closed",1,0)</f>
        <v>0</v>
      </c>
      <c r="Y123" s="14" t="str">
        <f aca="false">IF(X123=0,"Clean","Review")</f>
        <v>Clean</v>
      </c>
    </row>
    <row r="124" customFormat="false" ht="15" hidden="false" customHeight="false" outlineLevel="0" collapsed="false">
      <c r="A124" s="14" t="s">
        <v>751</v>
      </c>
      <c r="B124" s="14" t="s">
        <v>752</v>
      </c>
      <c r="C124" s="14" t="s">
        <v>138</v>
      </c>
      <c r="D124" s="14" t="s">
        <v>33</v>
      </c>
      <c r="E124" s="14" t="s">
        <v>753</v>
      </c>
      <c r="F124" s="14" t="s">
        <v>118</v>
      </c>
      <c r="G124" s="14" t="s">
        <v>754</v>
      </c>
      <c r="H124" s="14"/>
      <c r="I124" s="14" t="s">
        <v>406</v>
      </c>
      <c r="J124" s="14"/>
      <c r="K124" s="14"/>
      <c r="L124" s="14"/>
      <c r="M124" s="14"/>
      <c r="N124" s="14" t="s">
        <v>107</v>
      </c>
      <c r="O124" s="15" t="n">
        <v>45771</v>
      </c>
      <c r="P124" s="15" t="n">
        <v>45956</v>
      </c>
      <c r="Q124" s="14" t="s">
        <v>72</v>
      </c>
      <c r="R124" s="16" t="n">
        <v>134700</v>
      </c>
      <c r="S124" s="14" t="n">
        <f aca="false">IF(N124="Closed Won","",P124-ReportDate)</f>
        <v>101</v>
      </c>
      <c r="T124" s="14" t="str">
        <f aca="false">IF(N124="Closed Won","closed",IF(S124&lt;0,"past closed",IF(S124&lt;=10,"update","on track")))</f>
        <v>on track</v>
      </c>
      <c r="U124" s="14" t="str">
        <f aca="false">IF(H124="","No D&amp;B match",IF(TRIM(G124)=TRIM(H124),"Match","Mismatch"))</f>
        <v>No D&amp;B match</v>
      </c>
      <c r="V124" s="14" t="str">
        <f aca="false">IF(K124="","No D&amp;B match",IF(J124="","Missing in CRM",IF(J124=K124,"Match","Mismatch")))</f>
        <v>No D&amp;B match</v>
      </c>
      <c r="W124" s="14" t="str">
        <f aca="false">IF(M124="","No D&amp;B match",IF(L124="","Missing in CRM",IF(L124=M124,"Match","Mismatch")))</f>
        <v>No D&amp;B match</v>
      </c>
      <c r="X124" s="14" t="n">
        <f aca="false">COUNTIF(U124:W124,"&lt;&gt;Match")+IF(T124="past closed",1,0)</f>
        <v>3</v>
      </c>
      <c r="Y124" s="14" t="str">
        <f aca="false">IF(X124=0,"Clean","Review")</f>
        <v>Review</v>
      </c>
    </row>
    <row r="125" customFormat="false" ht="15" hidden="false" customHeight="false" outlineLevel="0" collapsed="false">
      <c r="A125" s="14" t="s">
        <v>755</v>
      </c>
      <c r="B125" s="14" t="s">
        <v>756</v>
      </c>
      <c r="C125" s="14" t="s">
        <v>291</v>
      </c>
      <c r="D125" s="14" t="s">
        <v>32</v>
      </c>
      <c r="E125" s="14" t="s">
        <v>757</v>
      </c>
      <c r="F125" s="14" t="s">
        <v>77</v>
      </c>
      <c r="G125" s="14" t="s">
        <v>758</v>
      </c>
      <c r="H125" s="14"/>
      <c r="I125" s="14" t="s">
        <v>468</v>
      </c>
      <c r="J125" s="14"/>
      <c r="K125" s="14"/>
      <c r="L125" s="14"/>
      <c r="M125" s="14"/>
      <c r="N125" s="14" t="s">
        <v>63</v>
      </c>
      <c r="O125" s="15" t="n">
        <v>45486</v>
      </c>
      <c r="P125" s="15" t="n">
        <v>45691</v>
      </c>
      <c r="Q125" s="14" t="s">
        <v>85</v>
      </c>
      <c r="R125" s="16" t="n">
        <v>54000</v>
      </c>
      <c r="S125" s="14" t="n">
        <f aca="false">IF(N125="Closed Won","",P125-ReportDate)</f>
        <v>-164</v>
      </c>
      <c r="T125" s="14" t="str">
        <f aca="false">IF(N125="Closed Won","closed",IF(S125&lt;0,"past closed",IF(S125&lt;=10,"update","on track")))</f>
        <v>past closed</v>
      </c>
      <c r="U125" s="14" t="str">
        <f aca="false">IF(H125="","No D&amp;B match",IF(TRIM(G125)=TRIM(H125),"Match","Mismatch"))</f>
        <v>No D&amp;B match</v>
      </c>
      <c r="V125" s="14" t="str">
        <f aca="false">IF(K125="","No D&amp;B match",IF(J125="","Missing in CRM",IF(J125=K125,"Match","Mismatch")))</f>
        <v>No D&amp;B match</v>
      </c>
      <c r="W125" s="14" t="str">
        <f aca="false">IF(M125="","No D&amp;B match",IF(L125="","Missing in CRM",IF(L125=M125,"Match","Mismatch")))</f>
        <v>No D&amp;B match</v>
      </c>
      <c r="X125" s="14" t="n">
        <f aca="false">COUNTIF(U125:W125,"&lt;&gt;Match")+IF(T125="past closed",1,0)</f>
        <v>4</v>
      </c>
      <c r="Y125" s="14" t="str">
        <f aca="false">IF(X125=0,"Clean","Review")</f>
        <v>Review</v>
      </c>
    </row>
    <row r="126" customFormat="false" ht="15" hidden="false" customHeight="false" outlineLevel="0" collapsed="false">
      <c r="A126" s="14" t="s">
        <v>759</v>
      </c>
      <c r="B126" s="14" t="s">
        <v>760</v>
      </c>
      <c r="C126" s="14" t="s">
        <v>171</v>
      </c>
      <c r="D126" s="14" t="s">
        <v>33</v>
      </c>
      <c r="E126" s="14" t="s">
        <v>761</v>
      </c>
      <c r="F126" s="14" t="s">
        <v>118</v>
      </c>
      <c r="G126" s="14" t="s">
        <v>762</v>
      </c>
      <c r="H126" s="14"/>
      <c r="I126" s="14" t="s">
        <v>396</v>
      </c>
      <c r="J126" s="14"/>
      <c r="K126" s="14"/>
      <c r="L126" s="14"/>
      <c r="M126" s="14"/>
      <c r="N126" s="14" t="s">
        <v>107</v>
      </c>
      <c r="O126" s="15" t="n">
        <v>45518</v>
      </c>
      <c r="P126" s="15" t="n">
        <v>45732</v>
      </c>
      <c r="Q126" s="14" t="s">
        <v>85</v>
      </c>
      <c r="R126" s="16" t="n">
        <v>105400</v>
      </c>
      <c r="S126" s="14" t="n">
        <f aca="false">IF(N126="Closed Won","",P126-ReportDate)</f>
        <v>-123</v>
      </c>
      <c r="T126" s="14" t="str">
        <f aca="false">IF(N126="Closed Won","closed",IF(S126&lt;0,"past closed",IF(S126&lt;=10,"update","on track")))</f>
        <v>past closed</v>
      </c>
      <c r="U126" s="14" t="str">
        <f aca="false">IF(H126="","No D&amp;B match",IF(TRIM(G126)=TRIM(H126),"Match","Mismatch"))</f>
        <v>No D&amp;B match</v>
      </c>
      <c r="V126" s="14" t="str">
        <f aca="false">IF(K126="","No D&amp;B match",IF(J126="","Missing in CRM",IF(J126=K126,"Match","Mismatch")))</f>
        <v>No D&amp;B match</v>
      </c>
      <c r="W126" s="14" t="str">
        <f aca="false">IF(M126="","No D&amp;B match",IF(L126="","Missing in CRM",IF(L126=M126,"Match","Mismatch")))</f>
        <v>No D&amp;B match</v>
      </c>
      <c r="X126" s="14" t="n">
        <f aca="false">COUNTIF(U126:W126,"&lt;&gt;Match")+IF(T126="past closed",1,0)</f>
        <v>4</v>
      </c>
      <c r="Y126" s="14" t="str">
        <f aca="false">IF(X126=0,"Clean","Review")</f>
        <v>Review</v>
      </c>
    </row>
    <row r="127" customFormat="false" ht="15" hidden="false" customHeight="false" outlineLevel="0" collapsed="false">
      <c r="A127" s="14" t="s">
        <v>763</v>
      </c>
      <c r="B127" s="14" t="s">
        <v>764</v>
      </c>
      <c r="C127" s="14" t="s">
        <v>116</v>
      </c>
      <c r="D127" s="14" t="s">
        <v>33</v>
      </c>
      <c r="E127" s="14" t="s">
        <v>765</v>
      </c>
      <c r="F127" s="14" t="s">
        <v>118</v>
      </c>
      <c r="G127" s="14" t="s">
        <v>766</v>
      </c>
      <c r="H127" s="14" t="s">
        <v>767</v>
      </c>
      <c r="I127" s="14" t="s">
        <v>406</v>
      </c>
      <c r="J127" s="14" t="n">
        <v>5961</v>
      </c>
      <c r="K127" s="14" t="n">
        <v>5961</v>
      </c>
      <c r="L127" s="14" t="n">
        <v>641795088</v>
      </c>
      <c r="M127" s="14" t="n">
        <v>641795088</v>
      </c>
      <c r="N127" s="14" t="s">
        <v>107</v>
      </c>
      <c r="O127" s="15" t="n">
        <v>45616</v>
      </c>
      <c r="P127" s="15" t="n">
        <v>45879</v>
      </c>
      <c r="Q127" s="14" t="s">
        <v>113</v>
      </c>
      <c r="R127" s="16" t="n">
        <v>74600</v>
      </c>
      <c r="S127" s="14" t="n">
        <f aca="false">IF(N127="Closed Won","",P127-ReportDate)</f>
        <v>24</v>
      </c>
      <c r="T127" s="14" t="str">
        <f aca="false">IF(N127="Closed Won","closed",IF(S127&lt;0,"past closed",IF(S127&lt;=10,"update","on track")))</f>
        <v>on track</v>
      </c>
      <c r="U127" s="14" t="str">
        <f aca="false">IF(H127="","No D&amp;B match",IF(TRIM(G127)=TRIM(H127),"Match","Mismatch"))</f>
        <v>Mismatch</v>
      </c>
      <c r="V127" s="14" t="str">
        <f aca="false">IF(K127="","No D&amp;B match",IF(J127="","Missing in CRM",IF(J127=K127,"Match","Mismatch")))</f>
        <v>Match</v>
      </c>
      <c r="W127" s="14" t="str">
        <f aca="false">IF(M127="","No D&amp;B match",IF(L127="","Missing in CRM",IF(L127=M127,"Match","Mismatch")))</f>
        <v>Match</v>
      </c>
      <c r="X127" s="14" t="n">
        <f aca="false">COUNTIF(U127:W127,"&lt;&gt;Match")+IF(T127="past closed",1,0)</f>
        <v>1</v>
      </c>
      <c r="Y127" s="14" t="str">
        <f aca="false">IF(X127=0,"Clean","Review")</f>
        <v>Review</v>
      </c>
    </row>
    <row r="128" customFormat="false" ht="15" hidden="false" customHeight="false" outlineLevel="0" collapsed="false">
      <c r="A128" s="14" t="s">
        <v>768</v>
      </c>
      <c r="B128" s="14" t="s">
        <v>769</v>
      </c>
      <c r="C128" s="14" t="s">
        <v>95</v>
      </c>
      <c r="D128" s="14" t="s">
        <v>34</v>
      </c>
      <c r="E128" s="14" t="s">
        <v>770</v>
      </c>
      <c r="F128" s="14" t="s">
        <v>187</v>
      </c>
      <c r="G128" s="14" t="s">
        <v>771</v>
      </c>
      <c r="H128" s="14" t="s">
        <v>771</v>
      </c>
      <c r="I128" s="14" t="s">
        <v>387</v>
      </c>
      <c r="J128" s="14" t="n">
        <v>5122</v>
      </c>
      <c r="K128" s="14" t="n">
        <v>5511</v>
      </c>
      <c r="L128" s="14" t="n">
        <v>474435222</v>
      </c>
      <c r="M128" s="14" t="n">
        <v>689381441</v>
      </c>
      <c r="N128" s="14" t="s">
        <v>99</v>
      </c>
      <c r="O128" s="15" t="n">
        <v>45651</v>
      </c>
      <c r="P128" s="15" t="n">
        <v>45804</v>
      </c>
      <c r="Q128" s="14" t="s">
        <v>203</v>
      </c>
      <c r="R128" s="16" t="n">
        <v>34000</v>
      </c>
      <c r="S128" s="14" t="str">
        <f aca="false">IF(N128="Closed Won","",P128-ReportDate)</f>
        <v/>
      </c>
      <c r="T128" s="14" t="str">
        <f aca="false">IF(N128="Closed Won","closed",IF(S128&lt;0,"past closed",IF(S128&lt;=10,"update","on track")))</f>
        <v>closed</v>
      </c>
      <c r="U128" s="14" t="str">
        <f aca="false">IF(H128="","No D&amp;B match",IF(TRIM(G128)=TRIM(H128),"Match","Mismatch"))</f>
        <v>Match</v>
      </c>
      <c r="V128" s="14" t="str">
        <f aca="false">IF(K128="","No D&amp;B match",IF(J128="","Missing in CRM",IF(J128=K128,"Match","Mismatch")))</f>
        <v>Mismatch</v>
      </c>
      <c r="W128" s="14" t="str">
        <f aca="false">IF(M128="","No D&amp;B match",IF(L128="","Missing in CRM",IF(L128=M128,"Match","Mismatch")))</f>
        <v>Mismatch</v>
      </c>
      <c r="X128" s="14" t="n">
        <f aca="false">COUNTIF(U128:W128,"&lt;&gt;Match")+IF(T128="past closed",1,0)</f>
        <v>2</v>
      </c>
      <c r="Y128" s="14" t="str">
        <f aca="false">IF(X128=0,"Clean","Review")</f>
        <v>Review</v>
      </c>
    </row>
    <row r="129" customFormat="false" ht="15" hidden="false" customHeight="false" outlineLevel="0" collapsed="false">
      <c r="A129" s="14" t="s">
        <v>772</v>
      </c>
      <c r="B129" s="14" t="s">
        <v>773</v>
      </c>
      <c r="C129" s="14" t="s">
        <v>161</v>
      </c>
      <c r="D129" s="14" t="s">
        <v>35</v>
      </c>
      <c r="E129" s="14" t="s">
        <v>774</v>
      </c>
      <c r="F129" s="14" t="s">
        <v>250</v>
      </c>
      <c r="G129" s="14" t="s">
        <v>775</v>
      </c>
      <c r="H129" s="14" t="s">
        <v>775</v>
      </c>
      <c r="I129" s="14" t="s">
        <v>387</v>
      </c>
      <c r="J129" s="14" t="n">
        <v>5511</v>
      </c>
      <c r="K129" s="14" t="n">
        <v>5511</v>
      </c>
      <c r="L129" s="14" t="n">
        <v>379526124</v>
      </c>
      <c r="M129" s="14" t="n">
        <v>379526124</v>
      </c>
      <c r="N129" s="14" t="s">
        <v>63</v>
      </c>
      <c r="O129" s="15" t="n">
        <v>45622</v>
      </c>
      <c r="P129" s="15" t="n">
        <v>45850</v>
      </c>
      <c r="Q129" s="14" t="s">
        <v>113</v>
      </c>
      <c r="R129" s="16" t="n">
        <v>281800</v>
      </c>
      <c r="S129" s="14" t="n">
        <f aca="false">IF(N129="Closed Won","",P129-ReportDate)</f>
        <v>-5</v>
      </c>
      <c r="T129" s="14" t="str">
        <f aca="false">IF(N129="Closed Won","closed",IF(S129&lt;0,"past closed",IF(S129&lt;=10,"update","on track")))</f>
        <v>past closed</v>
      </c>
      <c r="U129" s="14" t="str">
        <f aca="false">IF(H129="","No D&amp;B match",IF(TRIM(G129)=TRIM(H129),"Match","Mismatch"))</f>
        <v>Match</v>
      </c>
      <c r="V129" s="14" t="str">
        <f aca="false">IF(K129="","No D&amp;B match",IF(J129="","Missing in CRM",IF(J129=K129,"Match","Mismatch")))</f>
        <v>Match</v>
      </c>
      <c r="W129" s="14" t="str">
        <f aca="false">IF(M129="","No D&amp;B match",IF(L129="","Missing in CRM",IF(L129=M129,"Match","Mismatch")))</f>
        <v>Match</v>
      </c>
      <c r="X129" s="14" t="n">
        <f aca="false">COUNTIF(U129:W129,"&lt;&gt;Match")+IF(T129="past closed",1,0)</f>
        <v>1</v>
      </c>
      <c r="Y129" s="14" t="str">
        <f aca="false">IF(X129=0,"Clean","Review")</f>
        <v>Review</v>
      </c>
    </row>
    <row r="130" customFormat="false" ht="15" hidden="false" customHeight="false" outlineLevel="0" collapsed="false">
      <c r="A130" s="14" t="s">
        <v>776</v>
      </c>
      <c r="B130" s="14" t="s">
        <v>777</v>
      </c>
      <c r="C130" s="14" t="s">
        <v>67</v>
      </c>
      <c r="D130" s="14" t="s">
        <v>35</v>
      </c>
      <c r="E130" s="14" t="s">
        <v>778</v>
      </c>
      <c r="F130" s="14" t="s">
        <v>503</v>
      </c>
      <c r="G130" s="14" t="s">
        <v>779</v>
      </c>
      <c r="H130" s="14" t="s">
        <v>779</v>
      </c>
      <c r="I130" s="14" t="s">
        <v>381</v>
      </c>
      <c r="J130" s="14"/>
      <c r="K130" s="14" t="n">
        <v>5122</v>
      </c>
      <c r="L130" s="14"/>
      <c r="M130" s="14" t="n">
        <v>116651976</v>
      </c>
      <c r="N130" s="14" t="s">
        <v>107</v>
      </c>
      <c r="O130" s="15" t="n">
        <v>45297</v>
      </c>
      <c r="P130" s="15" t="n">
        <v>45407</v>
      </c>
      <c r="Q130" s="14" t="s">
        <v>64</v>
      </c>
      <c r="R130" s="16" t="n">
        <v>173500</v>
      </c>
      <c r="S130" s="14" t="n">
        <f aca="false">IF(N130="Closed Won","",P130-ReportDate)</f>
        <v>-448</v>
      </c>
      <c r="T130" s="14" t="str">
        <f aca="false">IF(N130="Closed Won","closed",IF(S130&lt;0,"past closed",IF(S130&lt;=10,"update","on track")))</f>
        <v>past closed</v>
      </c>
      <c r="U130" s="14" t="str">
        <f aca="false">IF(H130="","No D&amp;B match",IF(TRIM(G130)=TRIM(H130),"Match","Mismatch"))</f>
        <v>Match</v>
      </c>
      <c r="V130" s="14" t="str">
        <f aca="false">IF(K130="","No D&amp;B match",IF(J130="","Missing in CRM",IF(J130=K130,"Match","Mismatch")))</f>
        <v>Missing in CRM</v>
      </c>
      <c r="W130" s="14" t="str">
        <f aca="false">IF(M130="","No D&amp;B match",IF(L130="","Missing in CRM",IF(L130=M130,"Match","Mismatch")))</f>
        <v>Missing in CRM</v>
      </c>
      <c r="X130" s="14" t="n">
        <f aca="false">COUNTIF(U130:W130,"&lt;&gt;Match")+IF(T130="past closed",1,0)</f>
        <v>3</v>
      </c>
      <c r="Y130" s="14" t="str">
        <f aca="false">IF(X130=0,"Clean","Review")</f>
        <v>Review</v>
      </c>
    </row>
    <row r="131" customFormat="false" ht="15" hidden="false" customHeight="false" outlineLevel="0" collapsed="false">
      <c r="A131" s="14" t="s">
        <v>780</v>
      </c>
      <c r="B131" s="14" t="s">
        <v>781</v>
      </c>
      <c r="C131" s="14" t="s">
        <v>291</v>
      </c>
      <c r="D131" s="14" t="s">
        <v>32</v>
      </c>
      <c r="E131" s="14" t="s">
        <v>782</v>
      </c>
      <c r="F131" s="14" t="s">
        <v>379</v>
      </c>
      <c r="G131" s="14" t="s">
        <v>783</v>
      </c>
      <c r="H131" s="14" t="s">
        <v>783</v>
      </c>
      <c r="I131" s="14" t="s">
        <v>382</v>
      </c>
      <c r="J131" s="14" t="n">
        <v>6022</v>
      </c>
      <c r="K131" s="14" t="n">
        <v>6022</v>
      </c>
      <c r="L131" s="14" t="n">
        <v>900816184</v>
      </c>
      <c r="M131" s="14" t="n">
        <v>900816184</v>
      </c>
      <c r="N131" s="14" t="s">
        <v>99</v>
      </c>
      <c r="O131" s="15" t="n">
        <v>45316</v>
      </c>
      <c r="P131" s="15" t="n">
        <v>45551</v>
      </c>
      <c r="Q131" s="14" t="s">
        <v>100</v>
      </c>
      <c r="R131" s="16" t="n">
        <v>36900</v>
      </c>
      <c r="S131" s="14" t="str">
        <f aca="false">IF(N131="Closed Won","",P131-ReportDate)</f>
        <v/>
      </c>
      <c r="T131" s="14" t="str">
        <f aca="false">IF(N131="Closed Won","closed",IF(S131&lt;0,"past closed",IF(S131&lt;=10,"update","on track")))</f>
        <v>closed</v>
      </c>
      <c r="U131" s="14" t="str">
        <f aca="false">IF(H131="","No D&amp;B match",IF(TRIM(G131)=TRIM(H131),"Match","Mismatch"))</f>
        <v>Match</v>
      </c>
      <c r="V131" s="14" t="str">
        <f aca="false">IF(K131="","No D&amp;B match",IF(J131="","Missing in CRM",IF(J131=K131,"Match","Mismatch")))</f>
        <v>Match</v>
      </c>
      <c r="W131" s="14" t="str">
        <f aca="false">IF(M131="","No D&amp;B match",IF(L131="","Missing in CRM",IF(L131=M131,"Match","Mismatch")))</f>
        <v>Match</v>
      </c>
      <c r="X131" s="14" t="n">
        <f aca="false">COUNTIF(U131:W131,"&lt;&gt;Match")+IF(T131="past closed",1,0)</f>
        <v>0</v>
      </c>
      <c r="Y131" s="14" t="str">
        <f aca="false">IF(X131=0,"Clean","Review")</f>
        <v>Clean</v>
      </c>
    </row>
    <row r="132" customFormat="false" ht="15" hidden="false" customHeight="false" outlineLevel="0" collapsed="false">
      <c r="A132" s="14" t="s">
        <v>57</v>
      </c>
      <c r="B132" s="14" t="s">
        <v>58</v>
      </c>
      <c r="C132" s="14" t="s">
        <v>59</v>
      </c>
      <c r="D132" s="14" t="s">
        <v>37</v>
      </c>
      <c r="E132" s="14" t="s">
        <v>60</v>
      </c>
      <c r="F132" s="14" t="s">
        <v>61</v>
      </c>
      <c r="G132" s="14" t="s">
        <v>62</v>
      </c>
      <c r="H132" s="14" t="s">
        <v>62</v>
      </c>
      <c r="I132" s="14" t="s">
        <v>387</v>
      </c>
      <c r="J132" s="14" t="n">
        <v>5511</v>
      </c>
      <c r="K132" s="14" t="n">
        <v>5511</v>
      </c>
      <c r="L132" s="14" t="n">
        <v>350614741</v>
      </c>
      <c r="M132" s="14" t="n">
        <v>350614741</v>
      </c>
      <c r="N132" s="14" t="s">
        <v>63</v>
      </c>
      <c r="O132" s="15" t="n">
        <v>45330</v>
      </c>
      <c r="P132" s="15" t="n">
        <v>45428</v>
      </c>
      <c r="Q132" s="14" t="s">
        <v>64</v>
      </c>
      <c r="R132" s="16" t="n">
        <v>156200</v>
      </c>
      <c r="S132" s="14" t="n">
        <f aca="false">IF(N132="Closed Won","",P132-ReportDate)</f>
        <v>-427</v>
      </c>
      <c r="T132" s="14" t="str">
        <f aca="false">IF(N132="Closed Won","closed",IF(S132&lt;0,"past closed",IF(S132&lt;=10,"update","on track")))</f>
        <v>past closed</v>
      </c>
      <c r="U132" s="14" t="str">
        <f aca="false">IF(H132="","No D&amp;B match",IF(TRIM(G132)=TRIM(H132),"Match","Mismatch"))</f>
        <v>Match</v>
      </c>
      <c r="V132" s="14" t="str">
        <f aca="false">IF(K132="","No D&amp;B match",IF(J132="","Missing in CRM",IF(J132=K132,"Match","Mismatch")))</f>
        <v>Match</v>
      </c>
      <c r="W132" s="14" t="str">
        <f aca="false">IF(M132="","No D&amp;B match",IF(L132="","Missing in CRM",IF(L132=M132,"Match","Mismatch")))</f>
        <v>Match</v>
      </c>
      <c r="X132" s="14" t="n">
        <f aca="false">COUNTIF(U132:W132,"&lt;&gt;Match")+IF(T132="past closed",1,0)</f>
        <v>1</v>
      </c>
      <c r="Y132" s="14" t="str">
        <f aca="false">IF(X132=0,"Clean","Review")</f>
        <v>Review</v>
      </c>
    </row>
    <row r="133" customFormat="false" ht="15" hidden="false" customHeight="false" outlineLevel="0" collapsed="false">
      <c r="A133" s="14" t="s">
        <v>784</v>
      </c>
      <c r="B133" s="14" t="s">
        <v>785</v>
      </c>
      <c r="C133" s="14" t="s">
        <v>138</v>
      </c>
      <c r="D133" s="14" t="s">
        <v>33</v>
      </c>
      <c r="E133" s="14" t="s">
        <v>786</v>
      </c>
      <c r="F133" s="14" t="s">
        <v>432</v>
      </c>
      <c r="G133" s="14" t="s">
        <v>787</v>
      </c>
      <c r="H133" s="14" t="s">
        <v>787</v>
      </c>
      <c r="I133" s="14" t="s">
        <v>387</v>
      </c>
      <c r="J133" s="14" t="n">
        <v>5511</v>
      </c>
      <c r="K133" s="14" t="n">
        <v>5511</v>
      </c>
      <c r="L133" s="14" t="n">
        <v>298004932</v>
      </c>
      <c r="M133" s="14" t="n">
        <v>298004932</v>
      </c>
      <c r="N133" s="14" t="s">
        <v>107</v>
      </c>
      <c r="O133" s="15" t="n">
        <v>45367</v>
      </c>
      <c r="P133" s="15" t="n">
        <v>45448</v>
      </c>
      <c r="Q133" s="14" t="s">
        <v>64</v>
      </c>
      <c r="R133" s="16" t="n">
        <v>413800</v>
      </c>
      <c r="S133" s="14" t="n">
        <f aca="false">IF(N133="Closed Won","",P133-ReportDate)</f>
        <v>-407</v>
      </c>
      <c r="T133" s="14" t="str">
        <f aca="false">IF(N133="Closed Won","closed",IF(S133&lt;0,"past closed",IF(S133&lt;=10,"update","on track")))</f>
        <v>past closed</v>
      </c>
      <c r="U133" s="14" t="str">
        <f aca="false">IF(H133="","No D&amp;B match",IF(TRIM(G133)=TRIM(H133),"Match","Mismatch"))</f>
        <v>Match</v>
      </c>
      <c r="V133" s="14" t="str">
        <f aca="false">IF(K133="","No D&amp;B match",IF(J133="","Missing in CRM",IF(J133=K133,"Match","Mismatch")))</f>
        <v>Match</v>
      </c>
      <c r="W133" s="14" t="str">
        <f aca="false">IF(M133="","No D&amp;B match",IF(L133="","Missing in CRM",IF(L133=M133,"Match","Mismatch")))</f>
        <v>Match</v>
      </c>
      <c r="X133" s="14" t="n">
        <f aca="false">COUNTIF(U133:W133,"&lt;&gt;Match")+IF(T133="past closed",1,0)</f>
        <v>1</v>
      </c>
      <c r="Y133" s="14" t="str">
        <f aca="false">IF(X133=0,"Clean","Review")</f>
        <v>Review</v>
      </c>
    </row>
    <row r="134" customFormat="false" ht="15" hidden="false" customHeight="false" outlineLevel="0" collapsed="false">
      <c r="A134" s="14" t="s">
        <v>169</v>
      </c>
      <c r="B134" s="14" t="s">
        <v>170</v>
      </c>
      <c r="C134" s="14" t="s">
        <v>171</v>
      </c>
      <c r="D134" s="14" t="s">
        <v>33</v>
      </c>
      <c r="E134" s="14" t="s">
        <v>172</v>
      </c>
      <c r="F134" s="14" t="s">
        <v>140</v>
      </c>
      <c r="G134" s="14" t="s">
        <v>173</v>
      </c>
      <c r="H134" s="14" t="s">
        <v>173</v>
      </c>
      <c r="I134" s="14" t="s">
        <v>468</v>
      </c>
      <c r="J134" s="14" t="n">
        <v>8062</v>
      </c>
      <c r="K134" s="14" t="n">
        <v>8062</v>
      </c>
      <c r="L134" s="14" t="n">
        <v>761555231</v>
      </c>
      <c r="M134" s="14" t="n">
        <v>761555231</v>
      </c>
      <c r="N134" s="14" t="s">
        <v>99</v>
      </c>
      <c r="O134" s="15" t="n">
        <v>45811</v>
      </c>
      <c r="P134" s="15" t="n">
        <v>45840</v>
      </c>
      <c r="Q134" s="14" t="s">
        <v>113</v>
      </c>
      <c r="R134" s="16" t="n">
        <v>31000</v>
      </c>
      <c r="S134" s="14" t="str">
        <f aca="false">IF(N134="Closed Won","",P134-ReportDate)</f>
        <v/>
      </c>
      <c r="T134" s="14" t="str">
        <f aca="false">IF(N134="Closed Won","closed",IF(S134&lt;0,"past closed",IF(S134&lt;=10,"update","on track")))</f>
        <v>closed</v>
      </c>
      <c r="U134" s="14" t="str">
        <f aca="false">IF(H134="","No D&amp;B match",IF(TRIM(G134)=TRIM(H134),"Match","Mismatch"))</f>
        <v>Match</v>
      </c>
      <c r="V134" s="14" t="str">
        <f aca="false">IF(K134="","No D&amp;B match",IF(J134="","Missing in CRM",IF(J134=K134,"Match","Mismatch")))</f>
        <v>Match</v>
      </c>
      <c r="W134" s="14" t="str">
        <f aca="false">IF(M134="","No D&amp;B match",IF(L134="","Missing in CRM",IF(L134=M134,"Match","Mismatch")))</f>
        <v>Match</v>
      </c>
      <c r="X134" s="14" t="n">
        <f aca="false">COUNTIF(U134:W134,"&lt;&gt;Match")+IF(T134="past closed",1,0)</f>
        <v>0</v>
      </c>
      <c r="Y134" s="14" t="str">
        <f aca="false">IF(X134=0,"Clean","Review")</f>
        <v>Clean</v>
      </c>
    </row>
    <row r="135" customFormat="false" ht="15" hidden="false" customHeight="false" outlineLevel="0" collapsed="false">
      <c r="A135" s="14" t="s">
        <v>788</v>
      </c>
      <c r="B135" s="14" t="s">
        <v>789</v>
      </c>
      <c r="C135" s="14" t="s">
        <v>171</v>
      </c>
      <c r="D135" s="14" t="s">
        <v>33</v>
      </c>
      <c r="E135" s="14" t="s">
        <v>790</v>
      </c>
      <c r="F135" s="14" t="s">
        <v>222</v>
      </c>
      <c r="G135" s="14" t="s">
        <v>791</v>
      </c>
      <c r="H135" s="14" t="s">
        <v>791</v>
      </c>
      <c r="I135" s="14" t="s">
        <v>419</v>
      </c>
      <c r="J135" s="14" t="n">
        <v>5999</v>
      </c>
      <c r="K135" s="14" t="n">
        <v>5999</v>
      </c>
      <c r="L135" s="14" t="n">
        <v>842858204</v>
      </c>
      <c r="M135" s="14" t="n">
        <v>842858204</v>
      </c>
      <c r="N135" s="14" t="s">
        <v>99</v>
      </c>
      <c r="O135" s="15" t="n">
        <v>45721</v>
      </c>
      <c r="P135" s="15" t="n">
        <v>45784</v>
      </c>
      <c r="Q135" s="14" t="s">
        <v>203</v>
      </c>
      <c r="R135" s="16" t="n">
        <v>119300</v>
      </c>
      <c r="S135" s="14" t="str">
        <f aca="false">IF(N135="Closed Won","",P135-ReportDate)</f>
        <v/>
      </c>
      <c r="T135" s="14" t="str">
        <f aca="false">IF(N135="Closed Won","closed",IF(S135&lt;0,"past closed",IF(S135&lt;=10,"update","on track")))</f>
        <v>closed</v>
      </c>
      <c r="U135" s="14" t="str">
        <f aca="false">IF(H135="","No D&amp;B match",IF(TRIM(G135)=TRIM(H135),"Match","Mismatch"))</f>
        <v>Match</v>
      </c>
      <c r="V135" s="14" t="str">
        <f aca="false">IF(K135="","No D&amp;B match",IF(J135="","Missing in CRM",IF(J135=K135,"Match","Mismatch")))</f>
        <v>Match</v>
      </c>
      <c r="W135" s="14" t="str">
        <f aca="false">IF(M135="","No D&amp;B match",IF(L135="","Missing in CRM",IF(L135=M135,"Match","Mismatch")))</f>
        <v>Match</v>
      </c>
      <c r="X135" s="14" t="n">
        <f aca="false">COUNTIF(U135:W135,"&lt;&gt;Match")+IF(T135="past closed",1,0)</f>
        <v>0</v>
      </c>
      <c r="Y135" s="14" t="str">
        <f aca="false">IF(X135=0,"Clean","Review")</f>
        <v>Clean</v>
      </c>
    </row>
    <row r="136" customFormat="false" ht="15" hidden="false" customHeight="false" outlineLevel="0" collapsed="false">
      <c r="A136" s="14" t="s">
        <v>792</v>
      </c>
      <c r="B136" s="14" t="s">
        <v>793</v>
      </c>
      <c r="C136" s="14" t="s">
        <v>116</v>
      </c>
      <c r="D136" s="14" t="s">
        <v>33</v>
      </c>
      <c r="E136" s="14" t="s">
        <v>794</v>
      </c>
      <c r="F136" s="14" t="s">
        <v>222</v>
      </c>
      <c r="G136" s="14" t="s">
        <v>795</v>
      </c>
      <c r="H136" s="14" t="s">
        <v>795</v>
      </c>
      <c r="I136" s="14" t="s">
        <v>396</v>
      </c>
      <c r="J136" s="14" t="n">
        <v>7011</v>
      </c>
      <c r="K136" s="14" t="n">
        <v>7011</v>
      </c>
      <c r="L136" s="14" t="n">
        <v>261197480</v>
      </c>
      <c r="M136" s="14" t="n">
        <v>261197480</v>
      </c>
      <c r="N136" s="14" t="s">
        <v>63</v>
      </c>
      <c r="O136" s="15" t="n">
        <v>45403</v>
      </c>
      <c r="P136" s="15" t="n">
        <v>45520</v>
      </c>
      <c r="Q136" s="14" t="s">
        <v>100</v>
      </c>
      <c r="R136" s="16" t="n">
        <v>127500</v>
      </c>
      <c r="S136" s="14" t="n">
        <f aca="false">IF(N136="Closed Won","",P136-ReportDate)</f>
        <v>-335</v>
      </c>
      <c r="T136" s="14" t="str">
        <f aca="false">IF(N136="Closed Won","closed",IF(S136&lt;0,"past closed",IF(S136&lt;=10,"update","on track")))</f>
        <v>past closed</v>
      </c>
      <c r="U136" s="14" t="str">
        <f aca="false">IF(H136="","No D&amp;B match",IF(TRIM(G136)=TRIM(H136),"Match","Mismatch"))</f>
        <v>Match</v>
      </c>
      <c r="V136" s="14" t="str">
        <f aca="false">IF(K136="","No D&amp;B match",IF(J136="","Missing in CRM",IF(J136=K136,"Match","Mismatch")))</f>
        <v>Match</v>
      </c>
      <c r="W136" s="14" t="str">
        <f aca="false">IF(M136="","No D&amp;B match",IF(L136="","Missing in CRM",IF(L136=M136,"Match","Mismatch")))</f>
        <v>Match</v>
      </c>
      <c r="X136" s="14" t="n">
        <f aca="false">COUNTIF(U136:W136,"&lt;&gt;Match")+IF(T136="past closed",1,0)</f>
        <v>1</v>
      </c>
      <c r="Y136" s="14" t="str">
        <f aca="false">IF(X136=0,"Clean","Review")</f>
        <v>Review</v>
      </c>
    </row>
    <row r="137" customFormat="false" ht="15" hidden="false" customHeight="false" outlineLevel="0" collapsed="false">
      <c r="A137" s="14" t="s">
        <v>311</v>
      </c>
      <c r="B137" s="14" t="s">
        <v>312</v>
      </c>
      <c r="C137" s="14" t="s">
        <v>67</v>
      </c>
      <c r="D137" s="14" t="s">
        <v>35</v>
      </c>
      <c r="E137" s="14" t="s">
        <v>313</v>
      </c>
      <c r="F137" s="14" t="s">
        <v>129</v>
      </c>
      <c r="G137" s="14" t="s">
        <v>314</v>
      </c>
      <c r="H137" s="14" t="s">
        <v>796</v>
      </c>
      <c r="I137" s="14" t="s">
        <v>406</v>
      </c>
      <c r="J137" s="14" t="n">
        <v>5961</v>
      </c>
      <c r="K137" s="14" t="n">
        <v>5961</v>
      </c>
      <c r="L137" s="14" t="n">
        <v>175762404</v>
      </c>
      <c r="M137" s="14" t="n">
        <v>175762404</v>
      </c>
      <c r="N137" s="14" t="s">
        <v>107</v>
      </c>
      <c r="O137" s="15" t="n">
        <v>45758</v>
      </c>
      <c r="P137" s="15" t="n">
        <v>45807</v>
      </c>
      <c r="Q137" s="14" t="s">
        <v>203</v>
      </c>
      <c r="R137" s="16" t="n">
        <v>122800</v>
      </c>
      <c r="S137" s="14" t="n">
        <f aca="false">IF(N137="Closed Won","",P137-ReportDate)</f>
        <v>-48</v>
      </c>
      <c r="T137" s="14" t="str">
        <f aca="false">IF(N137="Closed Won","closed",IF(S137&lt;0,"past closed",IF(S137&lt;=10,"update","on track")))</f>
        <v>past closed</v>
      </c>
      <c r="U137" s="14" t="str">
        <f aca="false">IF(H137="","No D&amp;B match",IF(TRIM(G137)=TRIM(H137),"Match","Mismatch"))</f>
        <v>Mismatch</v>
      </c>
      <c r="V137" s="14" t="str">
        <f aca="false">IF(K137="","No D&amp;B match",IF(J137="","Missing in CRM",IF(J137=K137,"Match","Mismatch")))</f>
        <v>Match</v>
      </c>
      <c r="W137" s="14" t="str">
        <f aca="false">IF(M137="","No D&amp;B match",IF(L137="","Missing in CRM",IF(L137=M137,"Match","Mismatch")))</f>
        <v>Match</v>
      </c>
      <c r="X137" s="14" t="n">
        <f aca="false">COUNTIF(U137:W137,"&lt;&gt;Match")+IF(T137="past closed",1,0)</f>
        <v>2</v>
      </c>
      <c r="Y137" s="14" t="str">
        <f aca="false">IF(X137=0,"Clean","Review")</f>
        <v>Review</v>
      </c>
    </row>
    <row r="138" customFormat="false" ht="15" hidden="false" customHeight="false" outlineLevel="0" collapsed="false">
      <c r="A138" s="14" t="s">
        <v>797</v>
      </c>
      <c r="B138" s="14" t="s">
        <v>798</v>
      </c>
      <c r="C138" s="14" t="s">
        <v>75</v>
      </c>
      <c r="D138" s="14" t="s">
        <v>32</v>
      </c>
      <c r="E138" s="14" t="s">
        <v>799</v>
      </c>
      <c r="F138" s="14" t="s">
        <v>344</v>
      </c>
      <c r="G138" s="14" t="s">
        <v>800</v>
      </c>
      <c r="H138" s="14"/>
      <c r="I138" s="14" t="s">
        <v>387</v>
      </c>
      <c r="J138" s="14"/>
      <c r="K138" s="14"/>
      <c r="L138" s="14"/>
      <c r="M138" s="14"/>
      <c r="N138" s="14" t="s">
        <v>71</v>
      </c>
      <c r="O138" s="15" t="n">
        <v>45575</v>
      </c>
      <c r="P138" s="15" t="n">
        <v>45789</v>
      </c>
      <c r="Q138" s="14" t="s">
        <v>203</v>
      </c>
      <c r="R138" s="16" t="n">
        <v>110500</v>
      </c>
      <c r="S138" s="14" t="n">
        <f aca="false">IF(N138="Closed Won","",P138-ReportDate)</f>
        <v>-66</v>
      </c>
      <c r="T138" s="14" t="str">
        <f aca="false">IF(N138="Closed Won","closed",IF(S138&lt;0,"past closed",IF(S138&lt;=10,"update","on track")))</f>
        <v>past closed</v>
      </c>
      <c r="U138" s="14" t="str">
        <f aca="false">IF(H138="","No D&amp;B match",IF(TRIM(G138)=TRIM(H138),"Match","Mismatch"))</f>
        <v>No D&amp;B match</v>
      </c>
      <c r="V138" s="14" t="str">
        <f aca="false">IF(K138="","No D&amp;B match",IF(J138="","Missing in CRM",IF(J138=K138,"Match","Mismatch")))</f>
        <v>No D&amp;B match</v>
      </c>
      <c r="W138" s="14" t="str">
        <f aca="false">IF(M138="","No D&amp;B match",IF(L138="","Missing in CRM",IF(L138=M138,"Match","Mismatch")))</f>
        <v>No D&amp;B match</v>
      </c>
      <c r="X138" s="14" t="n">
        <f aca="false">COUNTIF(U138:W138,"&lt;&gt;Match")+IF(T138="past closed",1,0)</f>
        <v>4</v>
      </c>
      <c r="Y138" s="14" t="str">
        <f aca="false">IF(X138=0,"Clean","Review")</f>
        <v>Review</v>
      </c>
    </row>
    <row r="139" customFormat="false" ht="15" hidden="false" customHeight="false" outlineLevel="0" collapsed="false">
      <c r="A139" s="14" t="s">
        <v>801</v>
      </c>
      <c r="B139" s="14" t="s">
        <v>802</v>
      </c>
      <c r="C139" s="14" t="s">
        <v>67</v>
      </c>
      <c r="D139" s="14" t="s">
        <v>35</v>
      </c>
      <c r="E139" s="14" t="s">
        <v>803</v>
      </c>
      <c r="F139" s="14" t="s">
        <v>503</v>
      </c>
      <c r="G139" s="14" t="s">
        <v>804</v>
      </c>
      <c r="H139" s="14" t="s">
        <v>804</v>
      </c>
      <c r="I139" s="14" t="s">
        <v>406</v>
      </c>
      <c r="J139" s="14" t="n">
        <v>5961</v>
      </c>
      <c r="K139" s="14" t="n">
        <v>5961</v>
      </c>
      <c r="L139" s="14" t="n">
        <v>595360348</v>
      </c>
      <c r="M139" s="14" t="n">
        <v>595360348</v>
      </c>
      <c r="N139" s="14" t="s">
        <v>107</v>
      </c>
      <c r="O139" s="15" t="n">
        <v>45677</v>
      </c>
      <c r="P139" s="15" t="n">
        <v>45837</v>
      </c>
      <c r="Q139" s="14" t="s">
        <v>203</v>
      </c>
      <c r="R139" s="16" t="n">
        <v>515600</v>
      </c>
      <c r="S139" s="14" t="n">
        <f aca="false">IF(N139="Closed Won","",P139-ReportDate)</f>
        <v>-18</v>
      </c>
      <c r="T139" s="14" t="str">
        <f aca="false">IF(N139="Closed Won","closed",IF(S139&lt;0,"past closed",IF(S139&lt;=10,"update","on track")))</f>
        <v>past closed</v>
      </c>
      <c r="U139" s="14" t="str">
        <f aca="false">IF(H139="","No D&amp;B match",IF(TRIM(G139)=TRIM(H139),"Match","Mismatch"))</f>
        <v>Match</v>
      </c>
      <c r="V139" s="14" t="str">
        <f aca="false">IF(K139="","No D&amp;B match",IF(J139="","Missing in CRM",IF(J139=K139,"Match","Mismatch")))</f>
        <v>Match</v>
      </c>
      <c r="W139" s="14" t="str">
        <f aca="false">IF(M139="","No D&amp;B match",IF(L139="","Missing in CRM",IF(L139=M139,"Match","Mismatch")))</f>
        <v>Match</v>
      </c>
      <c r="X139" s="14" t="n">
        <f aca="false">COUNTIF(U139:W139,"&lt;&gt;Match")+IF(T139="past closed",1,0)</f>
        <v>1</v>
      </c>
      <c r="Y139" s="14" t="str">
        <f aca="false">IF(X139=0,"Clean","Review")</f>
        <v>Review</v>
      </c>
    </row>
    <row r="140" customFormat="false" ht="15" hidden="false" customHeight="false" outlineLevel="0" collapsed="false">
      <c r="A140" s="14" t="s">
        <v>805</v>
      </c>
      <c r="B140" s="14" t="s">
        <v>806</v>
      </c>
      <c r="C140" s="14" t="s">
        <v>88</v>
      </c>
      <c r="D140" s="14" t="s">
        <v>36</v>
      </c>
      <c r="E140" s="14" t="s">
        <v>807</v>
      </c>
      <c r="F140" s="14" t="s">
        <v>589</v>
      </c>
      <c r="G140" s="14" t="s">
        <v>808</v>
      </c>
      <c r="H140" s="14" t="s">
        <v>808</v>
      </c>
      <c r="I140" s="14" t="s">
        <v>382</v>
      </c>
      <c r="J140" s="14" t="n">
        <v>5122</v>
      </c>
      <c r="K140" s="14" t="n">
        <v>6022</v>
      </c>
      <c r="L140" s="14" t="n">
        <v>968785356</v>
      </c>
      <c r="M140" s="14" t="n">
        <v>131055768</v>
      </c>
      <c r="N140" s="14" t="s">
        <v>107</v>
      </c>
      <c r="O140" s="15" t="n">
        <v>45450</v>
      </c>
      <c r="P140" s="15" t="n">
        <v>45697</v>
      </c>
      <c r="Q140" s="14" t="s">
        <v>85</v>
      </c>
      <c r="R140" s="16" t="n">
        <v>270400</v>
      </c>
      <c r="S140" s="14" t="n">
        <f aca="false">IF(N140="Closed Won","",P140-ReportDate)</f>
        <v>-158</v>
      </c>
      <c r="T140" s="14" t="str">
        <f aca="false">IF(N140="Closed Won","closed",IF(S140&lt;0,"past closed",IF(S140&lt;=10,"update","on track")))</f>
        <v>past closed</v>
      </c>
      <c r="U140" s="14" t="str">
        <f aca="false">IF(H140="","No D&amp;B match",IF(TRIM(G140)=TRIM(H140),"Match","Mismatch"))</f>
        <v>Match</v>
      </c>
      <c r="V140" s="14" t="str">
        <f aca="false">IF(K140="","No D&amp;B match",IF(J140="","Missing in CRM",IF(J140=K140,"Match","Mismatch")))</f>
        <v>Mismatch</v>
      </c>
      <c r="W140" s="14" t="str">
        <f aca="false">IF(M140="","No D&amp;B match",IF(L140="","Missing in CRM",IF(L140=M140,"Match","Mismatch")))</f>
        <v>Mismatch</v>
      </c>
      <c r="X140" s="14" t="n">
        <f aca="false">COUNTIF(U140:W140,"&lt;&gt;Match")+IF(T140="past closed",1,0)</f>
        <v>3</v>
      </c>
      <c r="Y140" s="14" t="str">
        <f aca="false">IF(X140=0,"Clean","Review")</f>
        <v>Review</v>
      </c>
    </row>
    <row r="141" customFormat="false" ht="15" hidden="false" customHeight="false" outlineLevel="0" collapsed="false">
      <c r="A141" s="14" t="s">
        <v>809</v>
      </c>
      <c r="B141" s="14" t="s">
        <v>810</v>
      </c>
      <c r="C141" s="14" t="s">
        <v>161</v>
      </c>
      <c r="D141" s="14" t="s">
        <v>35</v>
      </c>
      <c r="E141" s="14" t="s">
        <v>811</v>
      </c>
      <c r="F141" s="14" t="s">
        <v>69</v>
      </c>
      <c r="G141" s="14" t="s">
        <v>812</v>
      </c>
      <c r="H141" s="14" t="s">
        <v>812</v>
      </c>
      <c r="I141" s="14" t="s">
        <v>387</v>
      </c>
      <c r="J141" s="14" t="n">
        <v>5511</v>
      </c>
      <c r="K141" s="14" t="n">
        <v>5511</v>
      </c>
      <c r="L141" s="14" t="n">
        <v>193377385</v>
      </c>
      <c r="M141" s="14" t="n">
        <v>193377385</v>
      </c>
      <c r="N141" s="14" t="s">
        <v>107</v>
      </c>
      <c r="O141" s="15" t="n">
        <v>45719</v>
      </c>
      <c r="P141" s="15" t="n">
        <v>45972</v>
      </c>
      <c r="Q141" s="14" t="s">
        <v>72</v>
      </c>
      <c r="R141" s="16" t="n">
        <v>395400</v>
      </c>
      <c r="S141" s="14" t="n">
        <f aca="false">IF(N141="Closed Won","",P141-ReportDate)</f>
        <v>117</v>
      </c>
      <c r="T141" s="14" t="str">
        <f aca="false">IF(N141="Closed Won","closed",IF(S141&lt;0,"past closed",IF(S141&lt;=10,"update","on track")))</f>
        <v>on track</v>
      </c>
      <c r="U141" s="14" t="str">
        <f aca="false">IF(H141="","No D&amp;B match",IF(TRIM(G141)=TRIM(H141),"Match","Mismatch"))</f>
        <v>Match</v>
      </c>
      <c r="V141" s="14" t="str">
        <f aca="false">IF(K141="","No D&amp;B match",IF(J141="","Missing in CRM",IF(J141=K141,"Match","Mismatch")))</f>
        <v>Match</v>
      </c>
      <c r="W141" s="14" t="str">
        <f aca="false">IF(M141="","No D&amp;B match",IF(L141="","Missing in CRM",IF(L141=M141,"Match","Mismatch")))</f>
        <v>Match</v>
      </c>
      <c r="X141" s="14" t="n">
        <f aca="false">COUNTIF(U141:W141,"&lt;&gt;Match")+IF(T141="past closed",1,0)</f>
        <v>0</v>
      </c>
      <c r="Y141" s="14" t="str">
        <f aca="false">IF(X141=0,"Clean","Review")</f>
        <v>Clean</v>
      </c>
    </row>
    <row r="142" customFormat="false" ht="15" hidden="false" customHeight="false" outlineLevel="0" collapsed="false">
      <c r="A142" s="14" t="s">
        <v>813</v>
      </c>
      <c r="B142" s="14" t="s">
        <v>814</v>
      </c>
      <c r="C142" s="14" t="s">
        <v>144</v>
      </c>
      <c r="D142" s="14" t="s">
        <v>34</v>
      </c>
      <c r="E142" s="14" t="s">
        <v>815</v>
      </c>
      <c r="F142" s="14" t="s">
        <v>278</v>
      </c>
      <c r="G142" s="14" t="s">
        <v>816</v>
      </c>
      <c r="H142" s="14" t="s">
        <v>816</v>
      </c>
      <c r="I142" s="14" t="s">
        <v>375</v>
      </c>
      <c r="J142" s="14" t="n">
        <v>4841</v>
      </c>
      <c r="K142" s="14" t="n">
        <v>4841</v>
      </c>
      <c r="L142" s="14" t="n">
        <v>466844390</v>
      </c>
      <c r="M142" s="14" t="n">
        <v>466844390</v>
      </c>
      <c r="N142" s="14" t="s">
        <v>107</v>
      </c>
      <c r="O142" s="15" t="n">
        <v>45418</v>
      </c>
      <c r="P142" s="15" t="n">
        <v>45598</v>
      </c>
      <c r="Q142" s="14" t="s">
        <v>92</v>
      </c>
      <c r="R142" s="16" t="n">
        <v>306000</v>
      </c>
      <c r="S142" s="14" t="n">
        <f aca="false">IF(N142="Closed Won","",P142-ReportDate)</f>
        <v>-257</v>
      </c>
      <c r="T142" s="14" t="str">
        <f aca="false">IF(N142="Closed Won","closed",IF(S142&lt;0,"past closed",IF(S142&lt;=10,"update","on track")))</f>
        <v>past closed</v>
      </c>
      <c r="U142" s="14" t="str">
        <f aca="false">IF(H142="","No D&amp;B match",IF(TRIM(G142)=TRIM(H142),"Match","Mismatch"))</f>
        <v>Match</v>
      </c>
      <c r="V142" s="14" t="str">
        <f aca="false">IF(K142="","No D&amp;B match",IF(J142="","Missing in CRM",IF(J142=K142,"Match","Mismatch")))</f>
        <v>Match</v>
      </c>
      <c r="W142" s="14" t="str">
        <f aca="false">IF(M142="","No D&amp;B match",IF(L142="","Missing in CRM",IF(L142=M142,"Match","Mismatch")))</f>
        <v>Match</v>
      </c>
      <c r="X142" s="14" t="n">
        <f aca="false">COUNTIF(U142:W142,"&lt;&gt;Match")+IF(T142="past closed",1,0)</f>
        <v>1</v>
      </c>
      <c r="Y142" s="14" t="str">
        <f aca="false">IF(X142=0,"Clean","Review")</f>
        <v>Review</v>
      </c>
    </row>
    <row r="143" customFormat="false" ht="15" hidden="false" customHeight="false" outlineLevel="0" collapsed="false">
      <c r="A143" s="14" t="s">
        <v>817</v>
      </c>
      <c r="B143" s="14" t="s">
        <v>818</v>
      </c>
      <c r="C143" s="14" t="s">
        <v>138</v>
      </c>
      <c r="D143" s="14" t="s">
        <v>33</v>
      </c>
      <c r="E143" s="14" t="s">
        <v>819</v>
      </c>
      <c r="F143" s="14" t="s">
        <v>222</v>
      </c>
      <c r="G143" s="14" t="s">
        <v>820</v>
      </c>
      <c r="H143" s="14" t="s">
        <v>820</v>
      </c>
      <c r="I143" s="14" t="s">
        <v>396</v>
      </c>
      <c r="J143" s="14"/>
      <c r="K143" s="14" t="n">
        <v>7011</v>
      </c>
      <c r="L143" s="14"/>
      <c r="M143" s="14" t="n">
        <v>139513860</v>
      </c>
      <c r="N143" s="14" t="s">
        <v>63</v>
      </c>
      <c r="O143" s="15" t="n">
        <v>45424</v>
      </c>
      <c r="P143" s="15" t="n">
        <v>45478</v>
      </c>
      <c r="Q143" s="14" t="s">
        <v>100</v>
      </c>
      <c r="R143" s="16" t="n">
        <v>88200</v>
      </c>
      <c r="S143" s="14" t="n">
        <f aca="false">IF(N143="Closed Won","",P143-ReportDate)</f>
        <v>-377</v>
      </c>
      <c r="T143" s="14" t="str">
        <f aca="false">IF(N143="Closed Won","closed",IF(S143&lt;0,"past closed",IF(S143&lt;=10,"update","on track")))</f>
        <v>past closed</v>
      </c>
      <c r="U143" s="14" t="str">
        <f aca="false">IF(H143="","No D&amp;B match",IF(TRIM(G143)=TRIM(H143),"Match","Mismatch"))</f>
        <v>Match</v>
      </c>
      <c r="V143" s="14" t="str">
        <f aca="false">IF(K143="","No D&amp;B match",IF(J143="","Missing in CRM",IF(J143=K143,"Match","Mismatch")))</f>
        <v>Missing in CRM</v>
      </c>
      <c r="W143" s="14" t="str">
        <f aca="false">IF(M143="","No D&amp;B match",IF(L143="","Missing in CRM",IF(L143=M143,"Match","Mismatch")))</f>
        <v>Missing in CRM</v>
      </c>
      <c r="X143" s="14" t="n">
        <f aca="false">COUNTIF(U143:W143,"&lt;&gt;Match")+IF(T143="past closed",1,0)</f>
        <v>3</v>
      </c>
      <c r="Y143" s="14" t="str">
        <f aca="false">IF(X143=0,"Clean","Review")</f>
        <v>Review</v>
      </c>
    </row>
    <row r="144" customFormat="false" ht="15" hidden="false" customHeight="false" outlineLevel="0" collapsed="false">
      <c r="A144" s="14" t="s">
        <v>821</v>
      </c>
      <c r="B144" s="14" t="s">
        <v>822</v>
      </c>
      <c r="C144" s="14" t="s">
        <v>360</v>
      </c>
      <c r="D144" s="14" t="s">
        <v>33</v>
      </c>
      <c r="E144" s="14" t="s">
        <v>823</v>
      </c>
      <c r="F144" s="14" t="s">
        <v>118</v>
      </c>
      <c r="G144" s="14" t="s">
        <v>824</v>
      </c>
      <c r="H144" s="14" t="s">
        <v>824</v>
      </c>
      <c r="I144" s="14" t="s">
        <v>406</v>
      </c>
      <c r="J144" s="14" t="n">
        <v>5961</v>
      </c>
      <c r="K144" s="14" t="n">
        <v>5961</v>
      </c>
      <c r="L144" s="14" t="n">
        <v>311478735</v>
      </c>
      <c r="M144" s="14" t="n">
        <v>311478735</v>
      </c>
      <c r="N144" s="14" t="s">
        <v>63</v>
      </c>
      <c r="O144" s="15" t="n">
        <v>45783</v>
      </c>
      <c r="P144" s="15" t="n">
        <v>45847</v>
      </c>
      <c r="Q144" s="14" t="s">
        <v>113</v>
      </c>
      <c r="R144" s="16" t="n">
        <v>65200</v>
      </c>
      <c r="S144" s="14" t="n">
        <f aca="false">IF(N144="Closed Won","",P144-ReportDate)</f>
        <v>-8</v>
      </c>
      <c r="T144" s="14" t="str">
        <f aca="false">IF(N144="Closed Won","closed",IF(S144&lt;0,"past closed",IF(S144&lt;=10,"update","on track")))</f>
        <v>past closed</v>
      </c>
      <c r="U144" s="14" t="str">
        <f aca="false">IF(H144="","No D&amp;B match",IF(TRIM(G144)=TRIM(H144),"Match","Mismatch"))</f>
        <v>Match</v>
      </c>
      <c r="V144" s="14" t="str">
        <f aca="false">IF(K144="","No D&amp;B match",IF(J144="","Missing in CRM",IF(J144=K144,"Match","Mismatch")))</f>
        <v>Match</v>
      </c>
      <c r="W144" s="14" t="str">
        <f aca="false">IF(M144="","No D&amp;B match",IF(L144="","Missing in CRM",IF(L144=M144,"Match","Mismatch")))</f>
        <v>Match</v>
      </c>
      <c r="X144" s="14" t="n">
        <f aca="false">COUNTIF(U144:W144,"&lt;&gt;Match")+IF(T144="past closed",1,0)</f>
        <v>1</v>
      </c>
      <c r="Y144" s="14" t="str">
        <f aca="false">IF(X144=0,"Clean","Review")</f>
        <v>Review</v>
      </c>
    </row>
    <row r="145" customFormat="false" ht="15" hidden="false" customHeight="false" outlineLevel="0" collapsed="false">
      <c r="A145" s="14" t="s">
        <v>825</v>
      </c>
      <c r="B145" s="14" t="s">
        <v>826</v>
      </c>
      <c r="C145" s="14" t="s">
        <v>103</v>
      </c>
      <c r="D145" s="14" t="s">
        <v>32</v>
      </c>
      <c r="E145" s="14" t="s">
        <v>827</v>
      </c>
      <c r="F145" s="14" t="s">
        <v>344</v>
      </c>
      <c r="G145" s="14" t="s">
        <v>828</v>
      </c>
      <c r="H145" s="14" t="s">
        <v>828</v>
      </c>
      <c r="I145" s="14" t="s">
        <v>406</v>
      </c>
      <c r="J145" s="14"/>
      <c r="K145" s="14" t="n">
        <v>5961</v>
      </c>
      <c r="L145" s="14"/>
      <c r="M145" s="14" t="n">
        <v>457042187</v>
      </c>
      <c r="N145" s="14" t="s">
        <v>107</v>
      </c>
      <c r="O145" s="15" t="n">
        <v>45508</v>
      </c>
      <c r="P145" s="15" t="n">
        <v>45672</v>
      </c>
      <c r="Q145" s="14" t="s">
        <v>85</v>
      </c>
      <c r="R145" s="16" t="n">
        <v>20700</v>
      </c>
      <c r="S145" s="14" t="n">
        <f aca="false">IF(N145="Closed Won","",P145-ReportDate)</f>
        <v>-183</v>
      </c>
      <c r="T145" s="14" t="str">
        <f aca="false">IF(N145="Closed Won","closed",IF(S145&lt;0,"past closed",IF(S145&lt;=10,"update","on track")))</f>
        <v>past closed</v>
      </c>
      <c r="U145" s="14" t="str">
        <f aca="false">IF(H145="","No D&amp;B match",IF(TRIM(G145)=TRIM(H145),"Match","Mismatch"))</f>
        <v>Match</v>
      </c>
      <c r="V145" s="14" t="str">
        <f aca="false">IF(K145="","No D&amp;B match",IF(J145="","Missing in CRM",IF(J145=K145,"Match","Mismatch")))</f>
        <v>Missing in CRM</v>
      </c>
      <c r="W145" s="14" t="str">
        <f aca="false">IF(M145="","No D&amp;B match",IF(L145="","Missing in CRM",IF(L145=M145,"Match","Mismatch")))</f>
        <v>Missing in CRM</v>
      </c>
      <c r="X145" s="14" t="n">
        <f aca="false">COUNTIF(U145:W145,"&lt;&gt;Match")+IF(T145="past closed",1,0)</f>
        <v>3</v>
      </c>
      <c r="Y145" s="14" t="str">
        <f aca="false">IF(X145=0,"Clean","Review")</f>
        <v>Review</v>
      </c>
    </row>
    <row r="146" customFormat="false" ht="15" hidden="false" customHeight="false" outlineLevel="0" collapsed="false">
      <c r="A146" s="14" t="s">
        <v>829</v>
      </c>
      <c r="B146" s="14" t="s">
        <v>830</v>
      </c>
      <c r="C146" s="14" t="s">
        <v>330</v>
      </c>
      <c r="D146" s="14" t="s">
        <v>33</v>
      </c>
      <c r="E146" s="14" t="s">
        <v>831</v>
      </c>
      <c r="F146" s="14" t="s">
        <v>446</v>
      </c>
      <c r="G146" s="14" t="s">
        <v>832</v>
      </c>
      <c r="H146" s="14" t="s">
        <v>832</v>
      </c>
      <c r="I146" s="14" t="s">
        <v>468</v>
      </c>
      <c r="J146" s="14" t="n">
        <v>8062</v>
      </c>
      <c r="K146" s="14" t="n">
        <v>8062</v>
      </c>
      <c r="L146" s="14" t="n">
        <v>503284022</v>
      </c>
      <c r="M146" s="14" t="n">
        <v>503284022</v>
      </c>
      <c r="N146" s="14" t="s">
        <v>99</v>
      </c>
      <c r="O146" s="15" t="n">
        <v>45715</v>
      </c>
      <c r="P146" s="15" t="n">
        <v>45743</v>
      </c>
      <c r="Q146" s="14" t="s">
        <v>85</v>
      </c>
      <c r="R146" s="16" t="n">
        <v>204700</v>
      </c>
      <c r="S146" s="14" t="str">
        <f aca="false">IF(N146="Closed Won","",P146-ReportDate)</f>
        <v/>
      </c>
      <c r="T146" s="14" t="str">
        <f aca="false">IF(N146="Closed Won","closed",IF(S146&lt;0,"past closed",IF(S146&lt;=10,"update","on track")))</f>
        <v>closed</v>
      </c>
      <c r="U146" s="14" t="str">
        <f aca="false">IF(H146="","No D&amp;B match",IF(TRIM(G146)=TRIM(H146),"Match","Mismatch"))</f>
        <v>Match</v>
      </c>
      <c r="V146" s="14" t="str">
        <f aca="false">IF(K146="","No D&amp;B match",IF(J146="","Missing in CRM",IF(J146=K146,"Match","Mismatch")))</f>
        <v>Match</v>
      </c>
      <c r="W146" s="14" t="str">
        <f aca="false">IF(M146="","No D&amp;B match",IF(L146="","Missing in CRM",IF(L146=M146,"Match","Mismatch")))</f>
        <v>Match</v>
      </c>
      <c r="X146" s="14" t="n">
        <f aca="false">COUNTIF(U146:W146,"&lt;&gt;Match")+IF(T146="past closed",1,0)</f>
        <v>0</v>
      </c>
      <c r="Y146" s="14" t="str">
        <f aca="false">IF(X146=0,"Clean","Review")</f>
        <v>Clean</v>
      </c>
    </row>
    <row r="147" customFormat="false" ht="15" hidden="false" customHeight="false" outlineLevel="0" collapsed="false">
      <c r="A147" s="14" t="s">
        <v>833</v>
      </c>
      <c r="B147" s="14" t="s">
        <v>834</v>
      </c>
      <c r="C147" s="14" t="s">
        <v>116</v>
      </c>
      <c r="D147" s="14" t="s">
        <v>33</v>
      </c>
      <c r="E147" s="14" t="s">
        <v>835</v>
      </c>
      <c r="F147" s="14" t="s">
        <v>446</v>
      </c>
      <c r="G147" s="14" t="s">
        <v>836</v>
      </c>
      <c r="H147" s="14" t="s">
        <v>836</v>
      </c>
      <c r="I147" s="14" t="s">
        <v>381</v>
      </c>
      <c r="J147" s="14" t="n">
        <v>5122</v>
      </c>
      <c r="K147" s="14" t="n">
        <v>5122</v>
      </c>
      <c r="L147" s="14" t="n">
        <v>211955674</v>
      </c>
      <c r="M147" s="14" t="n">
        <v>211955674</v>
      </c>
      <c r="N147" s="14" t="s">
        <v>63</v>
      </c>
      <c r="O147" s="15" t="n">
        <v>45631</v>
      </c>
      <c r="P147" s="15" t="n">
        <v>45803</v>
      </c>
      <c r="Q147" s="14" t="s">
        <v>203</v>
      </c>
      <c r="R147" s="16" t="n">
        <v>193100</v>
      </c>
      <c r="S147" s="14" t="n">
        <f aca="false">IF(N147="Closed Won","",P147-ReportDate)</f>
        <v>-52</v>
      </c>
      <c r="T147" s="14" t="str">
        <f aca="false">IF(N147="Closed Won","closed",IF(S147&lt;0,"past closed",IF(S147&lt;=10,"update","on track")))</f>
        <v>past closed</v>
      </c>
      <c r="U147" s="14" t="str">
        <f aca="false">IF(H147="","No D&amp;B match",IF(TRIM(G147)=TRIM(H147),"Match","Mismatch"))</f>
        <v>Match</v>
      </c>
      <c r="V147" s="14" t="str">
        <f aca="false">IF(K147="","No D&amp;B match",IF(J147="","Missing in CRM",IF(J147=K147,"Match","Mismatch")))</f>
        <v>Match</v>
      </c>
      <c r="W147" s="14" t="str">
        <f aca="false">IF(M147="","No D&amp;B match",IF(L147="","Missing in CRM",IF(L147=M147,"Match","Mismatch")))</f>
        <v>Match</v>
      </c>
      <c r="X147" s="14" t="n">
        <f aca="false">COUNTIF(U147:W147,"&lt;&gt;Match")+IF(T147="past closed",1,0)</f>
        <v>1</v>
      </c>
      <c r="Y147" s="14" t="str">
        <f aca="false">IF(X147=0,"Clean","Review")</f>
        <v>Review</v>
      </c>
    </row>
    <row r="148" customFormat="false" ht="15" hidden="false" customHeight="false" outlineLevel="0" collapsed="false">
      <c r="A148" s="14" t="s">
        <v>289</v>
      </c>
      <c r="B148" s="14" t="s">
        <v>290</v>
      </c>
      <c r="C148" s="14" t="s">
        <v>291</v>
      </c>
      <c r="D148" s="14" t="s">
        <v>32</v>
      </c>
      <c r="E148" s="14" t="s">
        <v>292</v>
      </c>
      <c r="F148" s="14" t="s">
        <v>134</v>
      </c>
      <c r="G148" s="14" t="s">
        <v>293</v>
      </c>
      <c r="H148" s="14" t="s">
        <v>837</v>
      </c>
      <c r="I148" s="14" t="s">
        <v>381</v>
      </c>
      <c r="J148" s="14" t="n">
        <v>5122</v>
      </c>
      <c r="K148" s="14" t="n">
        <v>5122</v>
      </c>
      <c r="L148" s="14" t="n">
        <v>356692262</v>
      </c>
      <c r="M148" s="14" t="n">
        <v>356692262</v>
      </c>
      <c r="N148" s="14" t="s">
        <v>107</v>
      </c>
      <c r="O148" s="15" t="n">
        <v>45451</v>
      </c>
      <c r="P148" s="15" t="n">
        <v>45566</v>
      </c>
      <c r="Q148" s="14" t="s">
        <v>92</v>
      </c>
      <c r="R148" s="16" t="n">
        <v>105900</v>
      </c>
      <c r="S148" s="14" t="n">
        <f aca="false">IF(N148="Closed Won","",P148-ReportDate)</f>
        <v>-289</v>
      </c>
      <c r="T148" s="14" t="str">
        <f aca="false">IF(N148="Closed Won","closed",IF(S148&lt;0,"past closed",IF(S148&lt;=10,"update","on track")))</f>
        <v>past closed</v>
      </c>
      <c r="U148" s="14" t="str">
        <f aca="false">IF(H148="","No D&amp;B match",IF(TRIM(G148)=TRIM(H148),"Match","Mismatch"))</f>
        <v>Mismatch</v>
      </c>
      <c r="V148" s="14" t="str">
        <f aca="false">IF(K148="","No D&amp;B match",IF(J148="","Missing in CRM",IF(J148=K148,"Match","Mismatch")))</f>
        <v>Match</v>
      </c>
      <c r="W148" s="14" t="str">
        <f aca="false">IF(M148="","No D&amp;B match",IF(L148="","Missing in CRM",IF(L148=M148,"Match","Mismatch")))</f>
        <v>Match</v>
      </c>
      <c r="X148" s="14" t="n">
        <f aca="false">COUNTIF(U148:W148,"&lt;&gt;Match")+IF(T148="past closed",1,0)</f>
        <v>2</v>
      </c>
      <c r="Y148" s="14" t="str">
        <f aca="false">IF(X148=0,"Clean","Review")</f>
        <v>Review</v>
      </c>
    </row>
    <row r="149" customFormat="false" ht="15" hidden="false" customHeight="false" outlineLevel="0" collapsed="false">
      <c r="A149" s="14" t="s">
        <v>838</v>
      </c>
      <c r="B149" s="14" t="s">
        <v>839</v>
      </c>
      <c r="C149" s="14" t="s">
        <v>103</v>
      </c>
      <c r="D149" s="14" t="s">
        <v>32</v>
      </c>
      <c r="E149" s="14" t="s">
        <v>840</v>
      </c>
      <c r="F149" s="14" t="s">
        <v>124</v>
      </c>
      <c r="G149" s="14" t="s">
        <v>841</v>
      </c>
      <c r="H149" s="14" t="s">
        <v>841</v>
      </c>
      <c r="I149" s="14" t="s">
        <v>381</v>
      </c>
      <c r="J149" s="14" t="n">
        <v>5122</v>
      </c>
      <c r="K149" s="14" t="n">
        <v>5122</v>
      </c>
      <c r="L149" s="14" t="n">
        <v>740039626</v>
      </c>
      <c r="M149" s="14" t="n">
        <v>740039626</v>
      </c>
      <c r="N149" s="14" t="s">
        <v>99</v>
      </c>
      <c r="O149" s="15" t="n">
        <v>45686</v>
      </c>
      <c r="P149" s="15" t="n">
        <v>45835</v>
      </c>
      <c r="Q149" s="14" t="s">
        <v>203</v>
      </c>
      <c r="R149" s="16" t="n">
        <v>161000</v>
      </c>
      <c r="S149" s="14" t="str">
        <f aca="false">IF(N149="Closed Won","",P149-ReportDate)</f>
        <v/>
      </c>
      <c r="T149" s="14" t="str">
        <f aca="false">IF(N149="Closed Won","closed",IF(S149&lt;0,"past closed",IF(S149&lt;=10,"update","on track")))</f>
        <v>closed</v>
      </c>
      <c r="U149" s="14" t="str">
        <f aca="false">IF(H149="","No D&amp;B match",IF(TRIM(G149)=TRIM(H149),"Match","Mismatch"))</f>
        <v>Match</v>
      </c>
      <c r="V149" s="14" t="str">
        <f aca="false">IF(K149="","No D&amp;B match",IF(J149="","Missing in CRM",IF(J149=K149,"Match","Mismatch")))</f>
        <v>Match</v>
      </c>
      <c r="W149" s="14" t="str">
        <f aca="false">IF(M149="","No D&amp;B match",IF(L149="","Missing in CRM",IF(L149=M149,"Match","Mismatch")))</f>
        <v>Match</v>
      </c>
      <c r="X149" s="14" t="n">
        <f aca="false">COUNTIF(U149:W149,"&lt;&gt;Match")+IF(T149="past closed",1,0)</f>
        <v>0</v>
      </c>
      <c r="Y149" s="14" t="str">
        <f aca="false">IF(X149=0,"Clean","Review")</f>
        <v>Clean</v>
      </c>
    </row>
    <row r="150" customFormat="false" ht="15" hidden="false" customHeight="false" outlineLevel="0" collapsed="false">
      <c r="A150" s="14" t="s">
        <v>239</v>
      </c>
      <c r="B150" s="14" t="s">
        <v>240</v>
      </c>
      <c r="C150" s="14" t="s">
        <v>75</v>
      </c>
      <c r="D150" s="14" t="s">
        <v>32</v>
      </c>
      <c r="E150" s="14" t="s">
        <v>241</v>
      </c>
      <c r="F150" s="14" t="s">
        <v>124</v>
      </c>
      <c r="G150" s="14" t="s">
        <v>242</v>
      </c>
      <c r="H150" s="14" t="s">
        <v>842</v>
      </c>
      <c r="I150" s="14" t="s">
        <v>387</v>
      </c>
      <c r="J150" s="14" t="n">
        <v>5511</v>
      </c>
      <c r="K150" s="14" t="n">
        <v>5511</v>
      </c>
      <c r="L150" s="14" t="n">
        <v>807929505</v>
      </c>
      <c r="M150" s="14" t="n">
        <v>807929505</v>
      </c>
      <c r="N150" s="14" t="s">
        <v>107</v>
      </c>
      <c r="O150" s="15" t="n">
        <v>45389</v>
      </c>
      <c r="P150" s="15" t="n">
        <v>45487</v>
      </c>
      <c r="Q150" s="14" t="s">
        <v>100</v>
      </c>
      <c r="R150" s="16" t="n">
        <v>25100</v>
      </c>
      <c r="S150" s="14" t="n">
        <f aca="false">IF(N150="Closed Won","",P150-ReportDate)</f>
        <v>-368</v>
      </c>
      <c r="T150" s="14" t="str">
        <f aca="false">IF(N150="Closed Won","closed",IF(S150&lt;0,"past closed",IF(S150&lt;=10,"update","on track")))</f>
        <v>past closed</v>
      </c>
      <c r="U150" s="14" t="str">
        <f aca="false">IF(H150="","No D&amp;B match",IF(TRIM(G150)=TRIM(H150),"Match","Mismatch"))</f>
        <v>Mismatch</v>
      </c>
      <c r="V150" s="14" t="str">
        <f aca="false">IF(K150="","No D&amp;B match",IF(J150="","Missing in CRM",IF(J150=K150,"Match","Mismatch")))</f>
        <v>Match</v>
      </c>
      <c r="W150" s="14" t="str">
        <f aca="false">IF(M150="","No D&amp;B match",IF(L150="","Missing in CRM",IF(L150=M150,"Match","Mismatch")))</f>
        <v>Match</v>
      </c>
      <c r="X150" s="14" t="n">
        <f aca="false">COUNTIF(U150:W150,"&lt;&gt;Match")+IF(T150="past closed",1,0)</f>
        <v>2</v>
      </c>
      <c r="Y150" s="14" t="str">
        <f aca="false">IF(X150=0,"Clean","Review")</f>
        <v>Review</v>
      </c>
    </row>
    <row r="151" customFormat="false" ht="15" hidden="false" customHeight="false" outlineLevel="0" collapsed="false">
      <c r="A151" s="14" t="s">
        <v>256</v>
      </c>
      <c r="B151" s="14" t="s">
        <v>257</v>
      </c>
      <c r="C151" s="14" t="s">
        <v>161</v>
      </c>
      <c r="D151" s="14" t="s">
        <v>35</v>
      </c>
      <c r="E151" s="14" t="s">
        <v>258</v>
      </c>
      <c r="F151" s="14" t="s">
        <v>111</v>
      </c>
      <c r="G151" s="14" t="s">
        <v>259</v>
      </c>
      <c r="H151" s="14"/>
      <c r="I151" s="14" t="s">
        <v>406</v>
      </c>
      <c r="J151" s="14"/>
      <c r="K151" s="14"/>
      <c r="L151" s="14"/>
      <c r="M151" s="14"/>
      <c r="N151" s="14" t="s">
        <v>71</v>
      </c>
      <c r="O151" s="15" t="n">
        <v>45625</v>
      </c>
      <c r="P151" s="15" t="n">
        <v>45729</v>
      </c>
      <c r="Q151" s="14" t="s">
        <v>85</v>
      </c>
      <c r="R151" s="16" t="n">
        <v>496700</v>
      </c>
      <c r="S151" s="14" t="n">
        <f aca="false">IF(N151="Closed Won","",P151-ReportDate)</f>
        <v>-126</v>
      </c>
      <c r="T151" s="14" t="str">
        <f aca="false">IF(N151="Closed Won","closed",IF(S151&lt;0,"past closed",IF(S151&lt;=10,"update","on track")))</f>
        <v>past closed</v>
      </c>
      <c r="U151" s="14" t="str">
        <f aca="false">IF(H151="","No D&amp;B match",IF(TRIM(G151)=TRIM(H151),"Match","Mismatch"))</f>
        <v>No D&amp;B match</v>
      </c>
      <c r="V151" s="14" t="str">
        <f aca="false">IF(K151="","No D&amp;B match",IF(J151="","Missing in CRM",IF(J151=K151,"Match","Mismatch")))</f>
        <v>No D&amp;B match</v>
      </c>
      <c r="W151" s="14" t="str">
        <f aca="false">IF(M151="","No D&amp;B match",IF(L151="","Missing in CRM",IF(L151=M151,"Match","Mismatch")))</f>
        <v>No D&amp;B match</v>
      </c>
      <c r="X151" s="14" t="n">
        <f aca="false">COUNTIF(U151:W151,"&lt;&gt;Match")+IF(T151="past closed",1,0)</f>
        <v>4</v>
      </c>
      <c r="Y151" s="14" t="str">
        <f aca="false">IF(X151=0,"Clean","Review")</f>
        <v>Review</v>
      </c>
    </row>
  </sheetData>
  <conditionalFormatting sqref="U2:W151">
    <cfRule type="cellIs" priority="2" operator="equal" aboveAverage="0" equalAverage="0" bottom="0" percent="0" rank="0" text="" dxfId="0">
      <formula>"Mismatch"</formula>
    </cfRule>
    <cfRule type="cellIs" priority="3" operator="equal" aboveAverage="0" equalAverage="0" bottom="0" percent="0" rank="0" text="" dxfId="8">
      <formula>"Missing in CRM"</formula>
    </cfRule>
    <cfRule type="cellIs" priority="4" operator="equal" aboveAverage="0" equalAverage="0" bottom="0" percent="0" rank="0" text="" dxfId="8">
      <formula>"No D&amp;B match"</formula>
    </cfRule>
  </conditionalFormatting>
  <conditionalFormatting sqref="T2:T151">
    <cfRule type="cellIs" priority="5" operator="equal" aboveAverage="0" equalAverage="0" bottom="0" percent="0" rank="0" text="" dxfId="0">
      <formula>"past closed"</formula>
    </cfRule>
  </conditionalFormatting>
  <conditionalFormatting sqref="Y2:Y151">
    <cfRule type="cellIs" priority="6" operator="equal" aboveAverage="0" equalAverage="0" bottom="0" percent="0" rank="0" text="" dxfId="1">
      <formula>"Clean"</formula>
    </cfRule>
    <cfRule type="cellIs" priority="7" operator="equal" aboveAverage="0" equalAverage="0" bottom="0" percent="0" rank="0" text="" dxfId="0">
      <formula>"Review"</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0"/>
  </cols>
  <sheetData>
    <row r="1" customFormat="false" ht="17.35" hidden="false" customHeight="false" outlineLevel="0" collapsed="false">
      <c r="A1" s="5" t="s">
        <v>843</v>
      </c>
    </row>
    <row r="2" customFormat="false" ht="15" hidden="false" customHeight="false" outlineLevel="0" collapsed="false">
      <c r="A2" s="6" t="s">
        <v>844</v>
      </c>
    </row>
    <row r="4" customFormat="false" ht="15" hidden="false" customHeight="false" outlineLevel="0" collapsed="false">
      <c r="A4" s="7" t="n">
        <v>1</v>
      </c>
      <c r="B4" s="17" t="s">
        <v>845</v>
      </c>
    </row>
    <row r="5" customFormat="false" ht="15" hidden="false" customHeight="false" outlineLevel="0" collapsed="false">
      <c r="A5" s="7" t="n">
        <v>2</v>
      </c>
      <c r="B5" s="17" t="s">
        <v>846</v>
      </c>
    </row>
    <row r="6" customFormat="false" ht="15" hidden="false" customHeight="false" outlineLevel="0" collapsed="false">
      <c r="A6" s="7" t="n">
        <v>3</v>
      </c>
      <c r="B6" s="17" t="s">
        <v>847</v>
      </c>
    </row>
    <row r="7" customFormat="false" ht="15" hidden="false" customHeight="false" outlineLevel="0" collapsed="false">
      <c r="A7" s="7" t="n">
        <v>4</v>
      </c>
      <c r="B7" s="17" t="s">
        <v>848</v>
      </c>
    </row>
    <row r="8" customFormat="false" ht="15" hidden="false" customHeight="false" outlineLevel="0" collapsed="false">
      <c r="A8" s="7" t="n">
        <v>5</v>
      </c>
      <c r="B8" s="17" t="s">
        <v>849</v>
      </c>
    </row>
    <row r="9" customFormat="false" ht="15" hidden="false" customHeight="false" outlineLevel="0" collapsed="false">
      <c r="A9" s="7" t="n">
        <v>6</v>
      </c>
      <c r="B9" s="17" t="s">
        <v>850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2026-10-14T10:30:44Z</dcterms:created>
  <dc:creator>Ade Adelaja</dc:creator>
  <dc:description>Cleaned file: real names, figures and records replaced with synthetic data of the same structure.</dc:description>
  <cp:keywords>cleaned synthetic</cp:keywords>
  <dc:language>en-US</dc:language>
  <cp:lastModifiedBy>Ade Adelaja</cp:lastModifiedBy>
  <dcterms:modified xsi:type="dcterms:W3CDTF">2026-10-14T10:30:44Z</dcterms:modified>
  <cp:revision>0</cp:revision>
  <dc:subject>Portfolio evidence, cleaned</dc:subject>
  <dc:title>Pipeline Data Compliance, cleaned</dc:title>
</cp:coreProperties>
</file>

<file path=docProps/custom.xml><?xml version="1.0" encoding="utf-8"?>
<Properties xmlns="http://schemas.openxmlformats.org/officeDocument/2006/custom-properties" xmlns:vt="http://schemas.openxmlformats.org/officeDocument/2006/docPropsVTypes"/>
</file>