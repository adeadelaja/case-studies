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Summary Metrics" sheetId="2" state="visible" r:id="rId4"/>
    <sheet name="SFDC Admin Dashboard" sheetId="3" state="visible" r:id="rId5"/>
    <sheet name="Open General Opps CFY" sheetId="4" state="visible" r:id="rId6"/>
    <sheet name="Lookup Data" sheetId="5" state="visible" r:id="rId7"/>
    <sheet name="Refresh Directions" sheetId="6" state="visible" r:id="rId8"/>
  </sheets>
  <definedNames>
    <definedName function="false" hidden="false" name="ReportDate" vbProcedure="false">'Lookup Data'!$F$4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<sst xmlns="http://schemas.openxmlformats.org/spreadsheetml/2006/main" count="1652" uniqueCount="605">
  <si>
    <t xml:space="preserve">Salesforce Admin Dashboard: cleaned rebuild</t>
  </si>
  <si>
    <t xml:space="preserve">Cleaned file: real names, figures and records replaced with synthetic data of the same structure.</t>
  </si>
  <si>
    <t xml:space="preserve">What this file does</t>
  </si>
  <si>
    <t xml:space="preserve">Scores the open general opportunities for the current quarter on five data quality checks, region by region, and turns each region into one word: REVIEW or FAIR. It replaced a monthly manual sweep of raw Salesforce exports. This copy runs on synthetic opportunities with the same tabs, columns and formulas.</t>
  </si>
  <si>
    <t xml:space="preserve">The five checks</t>
  </si>
  <si>
    <t xml:space="preserve">•  Unassigned forecast category (red flag above 20%).</t>
  </si>
  <si>
    <t xml:space="preserve">•  Missing forecast technology MRR (review above 15%).</t>
  </si>
  <si>
    <t xml:space="preserve">•  Missing billing address (review above 10%).</t>
  </si>
  <si>
    <t xml:space="preserve">•  Missing billing address and BP ID together (review above 5%).</t>
  </si>
  <si>
    <t xml:space="preserve">•  Close date already in the past (stale pipeline above 5%).</t>
  </si>
  <si>
    <t xml:space="preserve">Tabs</t>
  </si>
  <si>
    <t xml:space="preserve">•  Open General Opps CFY: the Salesforce extract. SAP Region comes from the office through the lookup table; six flag columns score every row.</t>
  </si>
  <si>
    <t xml:space="preserve">•  SFDC Admin Dashboard: pick the quarter in B4. Every table counts the extract by region with COUNTIFS.</t>
  </si>
  <si>
    <t xml:space="preserve">•  Summary Metrics: one row per region with the five measures and the REVIEW or FAIR verdict.</t>
  </si>
  <si>
    <t xml:space="preserve">•  Lookup Data and Refresh Directions: the office to region map and the handover routine.</t>
  </si>
  <si>
    <t xml:space="preserve">Fixes made while cleaning (found in the original)</t>
  </si>
  <si>
    <t xml:space="preserve">•  The Global row added up the regional percentages (giving figures such as 50.6%). It now divides the global count by the global total.</t>
  </si>
  <si>
    <t xml:space="preserve">•  The SAP Paper flag compared a TRUE value with the text "TRUE", so it never counted anything. It now tests the value itself.</t>
  </si>
  <si>
    <t xml:space="preserve">•  The address thresholds were applied to counts while the notes described percentages. They are now applied as shares of open opportunities, as the notes say.</t>
  </si>
  <si>
    <t xml:space="preserve">Data</t>
  </si>
  <si>
    <t xml:space="preserve">All accounts, owners, IDs, BP IDs, addresses and values are invented.</t>
  </si>
  <si>
    <t xml:space="preserve">Summary metrics</t>
  </si>
  <si>
    <t xml:space="preserve">Current Quarter</t>
  </si>
  <si>
    <t xml:space="preserve">Region</t>
  </si>
  <si>
    <t xml:space="preserve">Total opps</t>
  </si>
  <si>
    <t xml:space="preserve">% missing forecast category</t>
  </si>
  <si>
    <t xml:space="preserve">% missing forecast tech MRR</t>
  </si>
  <si>
    <t xml:space="preserve">% missing address</t>
  </si>
  <si>
    <t xml:space="preserve">% missing address and BP ID</t>
  </si>
  <si>
    <t xml:space="preserve">% past close dates</t>
  </si>
  <si>
    <t xml:space="preserve">Attention needed</t>
  </si>
  <si>
    <t xml:space="preserve">NA</t>
  </si>
  <si>
    <t xml:space="preserve">LATAM</t>
  </si>
  <si>
    <t xml:space="preserve">EMEA N</t>
  </si>
  <si>
    <t xml:space="preserve">EMEA S</t>
  </si>
  <si>
    <t xml:space="preserve">MEE</t>
  </si>
  <si>
    <t xml:space="preserve">APJ</t>
  </si>
  <si>
    <t xml:space="preserve">GCN</t>
  </si>
  <si>
    <t xml:space="preserve">Global</t>
  </si>
  <si>
    <t xml:space="preserve">This table shows data quality and forecast readiness for each region in the selected quarter, so sales and revenue operations can see where to act first.</t>
  </si>
  <si>
    <t xml:space="preserve">% missing forecast category: above 20% is a red flag.</t>
  </si>
  <si>
    <t xml:space="preserve">% missing forecast tech MRR: above 15% needs review.</t>
  </si>
  <si>
    <t xml:space="preserve">% missing address: above 10% reduces conversion confidence. Address and BP ID together: above 5%.</t>
  </si>
  <si>
    <t xml:space="preserve">% past close dates: above 5% suggests stale pipeline.</t>
  </si>
  <si>
    <t xml:space="preserve">REVIEW means a revenue operations or sales manager needs to act now. FAIR means the region is inside every threshold.</t>
  </si>
  <si>
    <t xml:space="preserve">Q3-2025</t>
  </si>
  <si>
    <t xml:space="preserve">Open opportunities per forecast category</t>
  </si>
  <si>
    <t xml:space="preserve">Total open general opps</t>
  </si>
  <si>
    <t xml:space="preserve">Unassigned forecast</t>
  </si>
  <si>
    <t xml:space="preserve">% unassigned forecast</t>
  </si>
  <si>
    <t xml:space="preserve">Open opportunities per stage</t>
  </si>
  <si>
    <t xml:space="preserve">Business chemistry &amp; Scoping</t>
  </si>
  <si>
    <t xml:space="preserve">Solution Presentation</t>
  </si>
  <si>
    <t xml:space="preserve">Tech Agreement</t>
  </si>
  <si>
    <t xml:space="preserve">Commercial Agreement</t>
  </si>
  <si>
    <t xml:space="preserve">Contracting</t>
  </si>
  <si>
    <t xml:space="preserve">Open general opportunities missing forecast tech MRR</t>
  </si>
  <si>
    <t xml:space="preserve">Missing forecast tech MRR</t>
  </si>
  <si>
    <t xml:space="preserve">% missing tech MRR</t>
  </si>
  <si>
    <t xml:space="preserve">SAP Paper opps</t>
  </si>
  <si>
    <t xml:space="preserve">SAP Paper missing MRR</t>
  </si>
  <si>
    <t xml:space="preserve">Billing address and BP ID</t>
  </si>
  <si>
    <t xml:space="preserve">Missing billing address</t>
  </si>
  <si>
    <t xml:space="preserve">Missing address and BP ID</t>
  </si>
  <si>
    <t xml:space="preserve">Opportunities with close dates in the past</t>
  </si>
  <si>
    <t xml:space="preserve">Past close date</t>
  </si>
  <si>
    <t xml:space="preserve">% past close date</t>
  </si>
  <si>
    <t xml:space="preserve">Opportunity ID</t>
  </si>
  <si>
    <t xml:space="preserve">Office</t>
  </si>
  <si>
    <t xml:space="preserve">SAP Region</t>
  </si>
  <si>
    <t xml:space="preserve">Account Name</t>
  </si>
  <si>
    <t xml:space="preserve">Opportunity Owner</t>
  </si>
  <si>
    <t xml:space="preserve">Stage</t>
  </si>
  <si>
    <t xml:space="preserve">Executive Forecast Category</t>
  </si>
  <si>
    <t xml:space="preserve">Close Date</t>
  </si>
  <si>
    <t xml:space="preserve">Fiscal Period</t>
  </si>
  <si>
    <t xml:space="preserve">SAP Paper</t>
  </si>
  <si>
    <t xml:space="preserve">Forecast Tech MRR (EUR)</t>
  </si>
  <si>
    <t xml:space="preserve">BP ID</t>
  </si>
  <si>
    <t xml:space="preserve">Billing Address Line 1</t>
  </si>
  <si>
    <t xml:space="preserve">Billing State/Province</t>
  </si>
  <si>
    <t xml:space="preserve">Billing Country</t>
  </si>
  <si>
    <t xml:space="preserve">Missing tech MRR</t>
  </si>
  <si>
    <t xml:space="preserve">Missing address</t>
  </si>
  <si>
    <t xml:space="preserve">006SYNQ30000075</t>
  </si>
  <si>
    <t xml:space="preserve">UK</t>
  </si>
  <si>
    <t xml:space="preserve">Nimbus Beauty</t>
  </si>
  <si>
    <t xml:space="preserve">Owner EME04</t>
  </si>
  <si>
    <t xml:space="preserve">-</t>
  </si>
  <si>
    <t xml:space="preserve">16407856</t>
  </si>
  <si>
    <t xml:space="preserve">174 Station Way</t>
  </si>
  <si>
    <t xml:space="preserve">West</t>
  </si>
  <si>
    <t xml:space="preserve">United Kingdom</t>
  </si>
  <si>
    <t xml:space="preserve">006SYNQ30000077</t>
  </si>
  <si>
    <t xml:space="preserve">Arlo Living</t>
  </si>
  <si>
    <t xml:space="preserve">3 - Best Case</t>
  </si>
  <si>
    <t xml:space="preserve">17484886</t>
  </si>
  <si>
    <t xml:space="preserve">129 Station Way</t>
  </si>
  <si>
    <t xml:space="preserve">006SYNQ30000010</t>
  </si>
  <si>
    <t xml:space="preserve">CA</t>
  </si>
  <si>
    <t xml:space="preserve">Jasper Travel</t>
  </si>
  <si>
    <t xml:space="preserve">Owner NA06</t>
  </si>
  <si>
    <t xml:space="preserve">Q4-2025</t>
  </si>
  <si>
    <t xml:space="preserve">16694617</t>
  </si>
  <si>
    <t xml:space="preserve">143 Station Way</t>
  </si>
  <si>
    <t xml:space="preserve">South</t>
  </si>
  <si>
    <t xml:space="preserve">United States</t>
  </si>
  <si>
    <t xml:space="preserve">006SYNQ30000024</t>
  </si>
  <si>
    <t xml:space="preserve">US</t>
  </si>
  <si>
    <t xml:space="preserve">Lumen Living</t>
  </si>
  <si>
    <t xml:space="preserve">Owner NA02</t>
  </si>
  <si>
    <t xml:space="preserve">12684724</t>
  </si>
  <si>
    <t xml:space="preserve">215 Station Way</t>
  </si>
  <si>
    <t xml:space="preserve">Central</t>
  </si>
  <si>
    <t xml:space="preserve">006SYNQ30000076</t>
  </si>
  <si>
    <t xml:space="preserve">NL</t>
  </si>
  <si>
    <t xml:space="preserve">Jasper Living</t>
  </si>
  <si>
    <t xml:space="preserve">Owner EME01</t>
  </si>
  <si>
    <t xml:space="preserve">13646339</t>
  </si>
  <si>
    <t xml:space="preserve">47 Station Way</t>
  </si>
  <si>
    <t xml:space="preserve">006SYNQ30000015</t>
  </si>
  <si>
    <t xml:space="preserve">Delmar Living</t>
  </si>
  <si>
    <t xml:space="preserve">Owner NA03</t>
  </si>
  <si>
    <t xml:space="preserve">4 - Pipeline</t>
  </si>
  <si>
    <t xml:space="preserve">12238451</t>
  </si>
  <si>
    <t xml:space="preserve">006SYNQ30000108</t>
  </si>
  <si>
    <t xml:space="preserve">PL</t>
  </si>
  <si>
    <t xml:space="preserve">Garnet Travel</t>
  </si>
  <si>
    <t xml:space="preserve">Owner MEE01</t>
  </si>
  <si>
    <t xml:space="preserve">17778845</t>
  </si>
  <si>
    <t xml:space="preserve">105 High Street</t>
  </si>
  <si>
    <t xml:space="preserve">Germany</t>
  </si>
  <si>
    <t xml:space="preserve">006SYNQ30000072</t>
  </si>
  <si>
    <t xml:space="preserve">Summit Sports</t>
  </si>
  <si>
    <t xml:space="preserve">14500849</t>
  </si>
  <si>
    <t xml:space="preserve">75 Station Way</t>
  </si>
  <si>
    <t xml:space="preserve">006SYNQ30000023</t>
  </si>
  <si>
    <t xml:space="preserve">Nimbus Retail</t>
  </si>
  <si>
    <t xml:space="preserve">17042761</t>
  </si>
  <si>
    <t xml:space="preserve">193 Station Way</t>
  </si>
  <si>
    <t xml:space="preserve">006SYNQ30000035</t>
  </si>
  <si>
    <t xml:space="preserve">MX</t>
  </si>
  <si>
    <t xml:space="preserve">Lumen Brands</t>
  </si>
  <si>
    <t xml:space="preserve">Owner LAT03</t>
  </si>
  <si>
    <t xml:space="preserve">14526000</t>
  </si>
  <si>
    <t xml:space="preserve">Brazil</t>
  </si>
  <si>
    <t xml:space="preserve">006SYNQ30000089</t>
  </si>
  <si>
    <t xml:space="preserve">ES</t>
  </si>
  <si>
    <t xml:space="preserve">Verity Travel</t>
  </si>
  <si>
    <t xml:space="preserve">Owner EME05</t>
  </si>
  <si>
    <t xml:space="preserve">11375241</t>
  </si>
  <si>
    <t xml:space="preserve">173 Park Avenue</t>
  </si>
  <si>
    <t xml:space="preserve">France</t>
  </si>
  <si>
    <t xml:space="preserve">006SYNQ30000140</t>
  </si>
  <si>
    <t xml:space="preserve">HK</t>
  </si>
  <si>
    <t xml:space="preserve">Cobalt Travel</t>
  </si>
  <si>
    <t xml:space="preserve">Owner GCN02</t>
  </si>
  <si>
    <t xml:space="preserve">Hong Kong</t>
  </si>
  <si>
    <t xml:space="preserve">006SYNQ30000118</t>
  </si>
  <si>
    <t xml:space="preserve">AT</t>
  </si>
  <si>
    <t xml:space="preserve">Iris Living</t>
  </si>
  <si>
    <t xml:space="preserve">Owner MEE02</t>
  </si>
  <si>
    <t xml:space="preserve">13484610</t>
  </si>
  <si>
    <t xml:space="preserve">006SYNQ30000041</t>
  </si>
  <si>
    <t xml:space="preserve">Tidal Telecom</t>
  </si>
  <si>
    <t xml:space="preserve">13923838</t>
  </si>
  <si>
    <t xml:space="preserve">65 Market Road</t>
  </si>
  <si>
    <t xml:space="preserve">006SYNQ30000045</t>
  </si>
  <si>
    <t xml:space="preserve">Harbor Sports</t>
  </si>
  <si>
    <t xml:space="preserve">Owner EME03</t>
  </si>
  <si>
    <t xml:space="preserve">18174262</t>
  </si>
  <si>
    <t xml:space="preserve">177 Market Road</t>
  </si>
  <si>
    <t xml:space="preserve">North</t>
  </si>
  <si>
    <t xml:space="preserve">006SYNQ30000119</t>
  </si>
  <si>
    <t xml:space="preserve">Jasper Foods</t>
  </si>
  <si>
    <t xml:space="preserve">11907376</t>
  </si>
  <si>
    <t xml:space="preserve">60 High Street</t>
  </si>
  <si>
    <t xml:space="preserve">006SYNQ30000112</t>
  </si>
  <si>
    <t xml:space="preserve">DE</t>
  </si>
  <si>
    <t xml:space="preserve">Moreland Retail</t>
  </si>
  <si>
    <t xml:space="preserve">13947016</t>
  </si>
  <si>
    <t xml:space="preserve">164 Park Avenue</t>
  </si>
  <si>
    <t xml:space="preserve">006SYNQ30000034</t>
  </si>
  <si>
    <t xml:space="preserve">Lumen Outfitters</t>
  </si>
  <si>
    <t xml:space="preserve">Owner LAT01</t>
  </si>
  <si>
    <t xml:space="preserve">006SYNQ30000032</t>
  </si>
  <si>
    <t xml:space="preserve">Osprey Telecom</t>
  </si>
  <si>
    <t xml:space="preserve">15864098</t>
  </si>
  <si>
    <t xml:space="preserve">006SYNQ30000131</t>
  </si>
  <si>
    <t xml:space="preserve">Falcon Living</t>
  </si>
  <si>
    <t xml:space="preserve">Owner GCN04</t>
  </si>
  <si>
    <t xml:space="preserve">17520742</t>
  </si>
  <si>
    <t xml:space="preserve">006SYNQ30000022</t>
  </si>
  <si>
    <t xml:space="preserve">Upton Brands</t>
  </si>
  <si>
    <t xml:space="preserve">18606158</t>
  </si>
  <si>
    <t xml:space="preserve">111 Market Road</t>
  </si>
  <si>
    <t xml:space="preserve">006SYNQ30000094</t>
  </si>
  <si>
    <t xml:space="preserve">Moreland Beauty</t>
  </si>
  <si>
    <t xml:space="preserve">11421983</t>
  </si>
  <si>
    <t xml:space="preserve">212 High Street</t>
  </si>
  <si>
    <t xml:space="preserve">006SYNQ30000078</t>
  </si>
  <si>
    <t xml:space="preserve">Osprey Outfitters</t>
  </si>
  <si>
    <t xml:space="preserve">11098883</t>
  </si>
  <si>
    <t xml:space="preserve">59 Station Way</t>
  </si>
  <si>
    <t xml:space="preserve">006SYNQ30000005</t>
  </si>
  <si>
    <t xml:space="preserve">Quarry Beauty</t>
  </si>
  <si>
    <t xml:space="preserve">19624313</t>
  </si>
  <si>
    <t xml:space="preserve">006SYNQ30000129</t>
  </si>
  <si>
    <t xml:space="preserve">AU</t>
  </si>
  <si>
    <t xml:space="preserve">Owner APJ01</t>
  </si>
  <si>
    <t xml:space="preserve">18383212</t>
  </si>
  <si>
    <t xml:space="preserve">99 Market Road</t>
  </si>
  <si>
    <t xml:space="preserve">Australia</t>
  </si>
  <si>
    <t xml:space="preserve">006SYNQ30000031</t>
  </si>
  <si>
    <t xml:space="preserve">Tidal Living</t>
  </si>
  <si>
    <t xml:space="preserve">Owner LAT05</t>
  </si>
  <si>
    <t xml:space="preserve">006SYNQ30000044</t>
  </si>
  <si>
    <t xml:space="preserve">Delmar Telecom</t>
  </si>
  <si>
    <t xml:space="preserve">12041310</t>
  </si>
  <si>
    <t xml:space="preserve">49 High Street</t>
  </si>
  <si>
    <t xml:space="preserve">006SYNQ30000080</t>
  </si>
  <si>
    <t xml:space="preserve">FR</t>
  </si>
  <si>
    <t xml:space="preserve">Jasper Beauty</t>
  </si>
  <si>
    <t xml:space="preserve">17581651</t>
  </si>
  <si>
    <t xml:space="preserve">140 Market Road</t>
  </si>
  <si>
    <t xml:space="preserve">006SYNQ30000042</t>
  </si>
  <si>
    <t xml:space="preserve">Osprey Brands</t>
  </si>
  <si>
    <t xml:space="preserve">13773432</t>
  </si>
  <si>
    <t xml:space="preserve">006SYNQ30000036</t>
  </si>
  <si>
    <t xml:space="preserve">Falcon Media</t>
  </si>
  <si>
    <t xml:space="preserve">Owner LAT06</t>
  </si>
  <si>
    <t xml:space="preserve">18312894</t>
  </si>
  <si>
    <t xml:space="preserve">006SYNQ30000114</t>
  </si>
  <si>
    <t xml:space="preserve">Delmar Media</t>
  </si>
  <si>
    <t xml:space="preserve">Owner MEE05</t>
  </si>
  <si>
    <t xml:space="preserve">18493199</t>
  </si>
  <si>
    <t xml:space="preserve">006SYNQ30000137</t>
  </si>
  <si>
    <t xml:space="preserve">Lumen Sports</t>
  </si>
  <si>
    <t xml:space="preserve">Owner GCN01</t>
  </si>
  <si>
    <t xml:space="preserve">15160350</t>
  </si>
  <si>
    <t xml:space="preserve">006SYNQ30000040</t>
  </si>
  <si>
    <t xml:space="preserve">BR</t>
  </si>
  <si>
    <t xml:space="preserve">Falcon Brands</t>
  </si>
  <si>
    <t xml:space="preserve">Owner LAT04</t>
  </si>
  <si>
    <t xml:space="preserve">006SYNQ30000082</t>
  </si>
  <si>
    <t xml:space="preserve">Falcon Telecom</t>
  </si>
  <si>
    <t xml:space="preserve">1 - Commit</t>
  </si>
  <si>
    <t xml:space="preserve">11541289</t>
  </si>
  <si>
    <t xml:space="preserve">32 Station Way</t>
  </si>
  <si>
    <t xml:space="preserve">006SYNQ30000093</t>
  </si>
  <si>
    <t xml:space="preserve">TR</t>
  </si>
  <si>
    <t xml:space="preserve">Osprey Travel</t>
  </si>
  <si>
    <t xml:space="preserve">Owner EME06</t>
  </si>
  <si>
    <t xml:space="preserve">12519485</t>
  </si>
  <si>
    <t xml:space="preserve">63 Station Way</t>
  </si>
  <si>
    <t xml:space="preserve">006SYNQ30000001</t>
  </si>
  <si>
    <t xml:space="preserve">Birch Brands</t>
  </si>
  <si>
    <t xml:space="preserve">006SYNQ30000128</t>
  </si>
  <si>
    <t xml:space="preserve">SG</t>
  </si>
  <si>
    <t xml:space="preserve">Tidal Outfitters</t>
  </si>
  <si>
    <t xml:space="preserve">Owner APJ03</t>
  </si>
  <si>
    <t xml:space="preserve">10019228</t>
  </si>
  <si>
    <t xml:space="preserve">202 Station Way</t>
  </si>
  <si>
    <t xml:space="preserve">006SYNQ30000058</t>
  </si>
  <si>
    <t xml:space="preserve">SE</t>
  </si>
  <si>
    <t xml:space="preserve">Kingsley Outfitters</t>
  </si>
  <si>
    <t xml:space="preserve">17440395</t>
  </si>
  <si>
    <t xml:space="preserve">13 Park Avenue</t>
  </si>
  <si>
    <t xml:space="preserve">006SYNQ30000123</t>
  </si>
  <si>
    <t xml:space="preserve">Ember Brands</t>
  </si>
  <si>
    <t xml:space="preserve">Owner APJ02</t>
  </si>
  <si>
    <t xml:space="preserve">12634491</t>
  </si>
  <si>
    <t xml:space="preserve">213 Station Way</t>
  </si>
  <si>
    <t xml:space="preserve">006SYNQ30000060</t>
  </si>
  <si>
    <t xml:space="preserve">19909999</t>
  </si>
  <si>
    <t xml:space="preserve">7 High Street</t>
  </si>
  <si>
    <t xml:space="preserve">006SYNQ30000134</t>
  </si>
  <si>
    <t xml:space="preserve">Delmar Travel</t>
  </si>
  <si>
    <t xml:space="preserve">Owner GCN03</t>
  </si>
  <si>
    <t xml:space="preserve">006SYNQ30000055</t>
  </si>
  <si>
    <t xml:space="preserve">Garnet Foods</t>
  </si>
  <si>
    <t xml:space="preserve">15035609</t>
  </si>
  <si>
    <t xml:space="preserve">2 High Street</t>
  </si>
  <si>
    <t xml:space="preserve">006SYNQ30000054</t>
  </si>
  <si>
    <t xml:space="preserve">Verity Living</t>
  </si>
  <si>
    <t xml:space="preserve">19243329</t>
  </si>
  <si>
    <t xml:space="preserve">141 Park Avenue</t>
  </si>
  <si>
    <t xml:space="preserve">006SYNQ30000130</t>
  </si>
  <si>
    <t xml:space="preserve">Ember Foods</t>
  </si>
  <si>
    <t xml:space="preserve">Owner GCN05</t>
  </si>
  <si>
    <t xml:space="preserve">10977097</t>
  </si>
  <si>
    <t xml:space="preserve">006SYNQ30000037</t>
  </si>
  <si>
    <t xml:space="preserve">Moreland Living</t>
  </si>
  <si>
    <t xml:space="preserve">11376842</t>
  </si>
  <si>
    <t xml:space="preserve">167 Station Way</t>
  </si>
  <si>
    <t xml:space="preserve">006SYNQ30000020</t>
  </si>
  <si>
    <t xml:space="preserve">Owner NA01</t>
  </si>
  <si>
    <t xml:space="preserve">15221114</t>
  </si>
  <si>
    <t xml:space="preserve">176 Park Avenue</t>
  </si>
  <si>
    <t xml:space="preserve">006SYNQ30000018</t>
  </si>
  <si>
    <t xml:space="preserve">Tidal Travel</t>
  </si>
  <si>
    <t xml:space="preserve">12628314</t>
  </si>
  <si>
    <t xml:space="preserve">146 Station Way</t>
  </si>
  <si>
    <t xml:space="preserve">006SYNQ30000117</t>
  </si>
  <si>
    <t xml:space="preserve">Jasper Brands</t>
  </si>
  <si>
    <t xml:space="preserve">18495870</t>
  </si>
  <si>
    <t xml:space="preserve">105 Market Road</t>
  </si>
  <si>
    <t xml:space="preserve">006SYNQ30000110</t>
  </si>
  <si>
    <t xml:space="preserve">Upton Foods</t>
  </si>
  <si>
    <t xml:space="preserve">15092166</t>
  </si>
  <si>
    <t xml:space="preserve">006SYNQ30000027</t>
  </si>
  <si>
    <t xml:space="preserve">Upton Beauty</t>
  </si>
  <si>
    <t xml:space="preserve">10730487</t>
  </si>
  <si>
    <t xml:space="preserve">006SYNQ30000019</t>
  </si>
  <si>
    <t xml:space="preserve">Owner NA05</t>
  </si>
  <si>
    <t xml:space="preserve">17825977</t>
  </si>
  <si>
    <t xml:space="preserve">157 High Street</t>
  </si>
  <si>
    <t xml:space="preserve">006SYNQ30000003</t>
  </si>
  <si>
    <t xml:space="preserve">Kingsley Media</t>
  </si>
  <si>
    <t xml:space="preserve">Owner NA04</t>
  </si>
  <si>
    <t xml:space="preserve">006SYNQ30000038</t>
  </si>
  <si>
    <t xml:space="preserve">Harbor Retail</t>
  </si>
  <si>
    <t xml:space="preserve">10002977</t>
  </si>
  <si>
    <t xml:space="preserve">006SYNQ30000002</t>
  </si>
  <si>
    <t xml:space="preserve">13492638</t>
  </si>
  <si>
    <t xml:space="preserve">006SYNQ30000124</t>
  </si>
  <si>
    <t xml:space="preserve">Pioneer Brands</t>
  </si>
  <si>
    <t xml:space="preserve">11434865</t>
  </si>
  <si>
    <t xml:space="preserve">23 Market Road</t>
  </si>
  <si>
    <t xml:space="preserve">006SYNQ30000030</t>
  </si>
  <si>
    <t xml:space="preserve">006SYNQ30000070</t>
  </si>
  <si>
    <t xml:space="preserve">Arlo Outfitters</t>
  </si>
  <si>
    <t xml:space="preserve">2 - Most Likely</t>
  </si>
  <si>
    <t xml:space="preserve">15375438</t>
  </si>
  <si>
    <t xml:space="preserve">73 Park Avenue</t>
  </si>
  <si>
    <t xml:space="preserve">006SYNQ30000012</t>
  </si>
  <si>
    <t xml:space="preserve">Pioneer Media</t>
  </si>
  <si>
    <t xml:space="preserve">006SYNQ30000009</t>
  </si>
  <si>
    <t xml:space="preserve">13076770</t>
  </si>
  <si>
    <t xml:space="preserve">006SYNQ30000105</t>
  </si>
  <si>
    <t xml:space="preserve">006SYNQ30000102</t>
  </si>
  <si>
    <t xml:space="preserve">Nimbus Living</t>
  </si>
  <si>
    <t xml:space="preserve">Owner MEE06</t>
  </si>
  <si>
    <t xml:space="preserve">19417332</t>
  </si>
  <si>
    <t xml:space="preserve">006SYNQ30000052</t>
  </si>
  <si>
    <t xml:space="preserve">Quarry Foods</t>
  </si>
  <si>
    <t xml:space="preserve">11364777</t>
  </si>
  <si>
    <t xml:space="preserve">15 High Street</t>
  </si>
  <si>
    <t xml:space="preserve">006SYNQ30000073</t>
  </si>
  <si>
    <t xml:space="preserve">Iris Travel</t>
  </si>
  <si>
    <t xml:space="preserve">Owner EME02</t>
  </si>
  <si>
    <t xml:space="preserve">19281112</t>
  </si>
  <si>
    <t xml:space="preserve">109 Park Avenue</t>
  </si>
  <si>
    <t xml:space="preserve">006SYNQ30000085</t>
  </si>
  <si>
    <t xml:space="preserve">Rowan Media</t>
  </si>
  <si>
    <t xml:space="preserve">17960751</t>
  </si>
  <si>
    <t xml:space="preserve">79 Station Way</t>
  </si>
  <si>
    <t xml:space="preserve">006SYNQ30000095</t>
  </si>
  <si>
    <t xml:space="preserve">Lumen Beauty</t>
  </si>
  <si>
    <t xml:space="preserve">Owner MEE03</t>
  </si>
  <si>
    <t xml:space="preserve">18227984</t>
  </si>
  <si>
    <t xml:space="preserve">155 Station Way</t>
  </si>
  <si>
    <t xml:space="preserve">006SYNQ30000100</t>
  </si>
  <si>
    <t xml:space="preserve">Garnet Outfitters</t>
  </si>
  <si>
    <t xml:space="preserve">13254097</t>
  </si>
  <si>
    <t xml:space="preserve">006SYNQ30000132</t>
  </si>
  <si>
    <t xml:space="preserve">CN</t>
  </si>
  <si>
    <t xml:space="preserve">006SYNQ30000062</t>
  </si>
  <si>
    <t xml:space="preserve">15634029</t>
  </si>
  <si>
    <t xml:space="preserve">162 Station Way</t>
  </si>
  <si>
    <t xml:space="preserve">006SYNQ30000127</t>
  </si>
  <si>
    <t xml:space="preserve">10252108</t>
  </si>
  <si>
    <t xml:space="preserve">77 Park Avenue</t>
  </si>
  <si>
    <t xml:space="preserve">006SYNQ30000099</t>
  </si>
  <si>
    <t xml:space="preserve">Owner MEE04</t>
  </si>
  <si>
    <t xml:space="preserve">006SYNQ30000067</t>
  </si>
  <si>
    <t xml:space="preserve">17203841</t>
  </si>
  <si>
    <t xml:space="preserve">149 Station Way</t>
  </si>
  <si>
    <t xml:space="preserve">006SYNQ30000039</t>
  </si>
  <si>
    <t xml:space="preserve">Moreland Sports</t>
  </si>
  <si>
    <t xml:space="preserve">006SYNQ30000008</t>
  </si>
  <si>
    <t xml:space="preserve">Jasper Media</t>
  </si>
  <si>
    <t xml:space="preserve">15553243</t>
  </si>
  <si>
    <t xml:space="preserve">006SYNQ30000016</t>
  </si>
  <si>
    <t xml:space="preserve">006SYNQ30000051</t>
  </si>
  <si>
    <t xml:space="preserve">Quarry Living</t>
  </si>
  <si>
    <t xml:space="preserve">17215876</t>
  </si>
  <si>
    <t xml:space="preserve">84 Station Way</t>
  </si>
  <si>
    <t xml:space="preserve">006SYNQ30000101</t>
  </si>
  <si>
    <t xml:space="preserve">14671008</t>
  </si>
  <si>
    <t xml:space="preserve">37 Station Way</t>
  </si>
  <si>
    <t xml:space="preserve">006SYNQ30000053</t>
  </si>
  <si>
    <t xml:space="preserve">Iris Telecom</t>
  </si>
  <si>
    <t xml:space="preserve">17475743</t>
  </si>
  <si>
    <t xml:space="preserve">213 Market Road</t>
  </si>
  <si>
    <t xml:space="preserve">006SYNQ30000139</t>
  </si>
  <si>
    <t xml:space="preserve">Summit Outfitters</t>
  </si>
  <si>
    <t xml:space="preserve">11057477</t>
  </si>
  <si>
    <t xml:space="preserve">006SYNQ30000087</t>
  </si>
  <si>
    <t xml:space="preserve">Osprey Media</t>
  </si>
  <si>
    <t xml:space="preserve">12225630</t>
  </si>
  <si>
    <t xml:space="preserve">65 High Street</t>
  </si>
  <si>
    <t xml:space="preserve">006SYNQ30000064</t>
  </si>
  <si>
    <t xml:space="preserve">Rowan Outfitters</t>
  </si>
  <si>
    <t xml:space="preserve">11392240</t>
  </si>
  <si>
    <t xml:space="preserve">171 Market Road</t>
  </si>
  <si>
    <t xml:space="preserve">006SYNQ30000071</t>
  </si>
  <si>
    <t xml:space="preserve">12408886</t>
  </si>
  <si>
    <t xml:space="preserve">229 Park Avenue</t>
  </si>
  <si>
    <t xml:space="preserve">006SYNQ30000103</t>
  </si>
  <si>
    <t xml:space="preserve">Summit Foods</t>
  </si>
  <si>
    <t xml:space="preserve">16555826</t>
  </si>
  <si>
    <t xml:space="preserve">006SYNQ30000097</t>
  </si>
  <si>
    <t xml:space="preserve">Birch Foods</t>
  </si>
  <si>
    <t xml:space="preserve">16485939</t>
  </si>
  <si>
    <t xml:space="preserve">006SYNQ30000090</t>
  </si>
  <si>
    <t xml:space="preserve">Falcon Retail</t>
  </si>
  <si>
    <t xml:space="preserve">11118847</t>
  </si>
  <si>
    <t xml:space="preserve">209 Station Way</t>
  </si>
  <si>
    <t xml:space="preserve">006SYNQ30000017</t>
  </si>
  <si>
    <t xml:space="preserve">11875103</t>
  </si>
  <si>
    <t xml:space="preserve">17 Park Avenue</t>
  </si>
  <si>
    <t xml:space="preserve">006SYNQ30000083</t>
  </si>
  <si>
    <t xml:space="preserve">10523353</t>
  </si>
  <si>
    <t xml:space="preserve">152 Market Road</t>
  </si>
  <si>
    <t xml:space="preserve">006SYNQ30000113</t>
  </si>
  <si>
    <t xml:space="preserve">Verity Brands</t>
  </si>
  <si>
    <t xml:space="preserve">13666384</t>
  </si>
  <si>
    <t xml:space="preserve">006SYNQ30000115</t>
  </si>
  <si>
    <t xml:space="preserve">Upton Living</t>
  </si>
  <si>
    <t xml:space="preserve">18108327</t>
  </si>
  <si>
    <t xml:space="preserve">43 Market Road</t>
  </si>
  <si>
    <t xml:space="preserve">006SYNQ30000116</t>
  </si>
  <si>
    <t xml:space="preserve">Birch Outfitters</t>
  </si>
  <si>
    <t xml:space="preserve">006SYNQ30000059</t>
  </si>
  <si>
    <t xml:space="preserve">Iris Beauty</t>
  </si>
  <si>
    <t xml:space="preserve">15069642</t>
  </si>
  <si>
    <t xml:space="preserve">152 High Street</t>
  </si>
  <si>
    <t xml:space="preserve">006SYNQ30000088</t>
  </si>
  <si>
    <t xml:space="preserve">Summit Retail</t>
  </si>
  <si>
    <t xml:space="preserve">19702939</t>
  </si>
  <si>
    <t xml:space="preserve">84 Park Avenue</t>
  </si>
  <si>
    <t xml:space="preserve">006SYNQ30000081</t>
  </si>
  <si>
    <t xml:space="preserve">14687804</t>
  </si>
  <si>
    <t xml:space="preserve">68 Park Avenue</t>
  </si>
  <si>
    <t xml:space="preserve">006SYNQ30000135</t>
  </si>
  <si>
    <t xml:space="preserve">Lumen Travel</t>
  </si>
  <si>
    <t xml:space="preserve">12745906</t>
  </si>
  <si>
    <t xml:space="preserve">006SYNQ30000091</t>
  </si>
  <si>
    <t xml:space="preserve">Birch Retail</t>
  </si>
  <si>
    <t xml:space="preserve">12300289</t>
  </si>
  <si>
    <t xml:space="preserve">200 High Street</t>
  </si>
  <si>
    <t xml:space="preserve">006SYNQ30000092</t>
  </si>
  <si>
    <t xml:space="preserve">Ember Sports</t>
  </si>
  <si>
    <t xml:space="preserve">14766062</t>
  </si>
  <si>
    <t xml:space="preserve">112 Park Avenue</t>
  </si>
  <si>
    <t xml:space="preserve">006SYNQ30000133</t>
  </si>
  <si>
    <t xml:space="preserve">13396256</t>
  </si>
  <si>
    <t xml:space="preserve">006SYNQ30000011</t>
  </si>
  <si>
    <t xml:space="preserve">Arlo Media</t>
  </si>
  <si>
    <t xml:space="preserve">12504210</t>
  </si>
  <si>
    <t xml:space="preserve">179 High Street</t>
  </si>
  <si>
    <t xml:space="preserve">006SYNQ30000107</t>
  </si>
  <si>
    <t xml:space="preserve">Summit Living</t>
  </si>
  <si>
    <t xml:space="preserve">15772774</t>
  </si>
  <si>
    <t xml:space="preserve">006SYNQ30000065</t>
  </si>
  <si>
    <t xml:space="preserve">Osprey Beauty</t>
  </si>
  <si>
    <t xml:space="preserve">11915897</t>
  </si>
  <si>
    <t xml:space="preserve">143 Market Road</t>
  </si>
  <si>
    <t xml:space="preserve">006SYNQ30000043</t>
  </si>
  <si>
    <t xml:space="preserve">Ember Telecom</t>
  </si>
  <si>
    <t xml:space="preserve">14081222</t>
  </si>
  <si>
    <t xml:space="preserve">19 Market Road</t>
  </si>
  <si>
    <t xml:space="preserve">006SYNQ30000068</t>
  </si>
  <si>
    <t xml:space="preserve">Iris Sports</t>
  </si>
  <si>
    <t xml:space="preserve">15114912</t>
  </si>
  <si>
    <t xml:space="preserve">107 Station Way</t>
  </si>
  <si>
    <t xml:space="preserve">006SYNQ30000014</t>
  </si>
  <si>
    <t xml:space="preserve">13935859</t>
  </si>
  <si>
    <t xml:space="preserve">68 High Street</t>
  </si>
  <si>
    <t xml:space="preserve">006SYNQ30000013</t>
  </si>
  <si>
    <t xml:space="preserve">Verity Sports</t>
  </si>
  <si>
    <t xml:space="preserve">006SYNQ30000069</t>
  </si>
  <si>
    <t xml:space="preserve">Summit Travel</t>
  </si>
  <si>
    <t xml:space="preserve">11836518</t>
  </si>
  <si>
    <t xml:space="preserve">168 High Street</t>
  </si>
  <si>
    <t xml:space="preserve">006SYNQ30000028</t>
  </si>
  <si>
    <t xml:space="preserve">Cobalt Media</t>
  </si>
  <si>
    <t xml:space="preserve">15886258</t>
  </si>
  <si>
    <t xml:space="preserve">006SYNQ30000141</t>
  </si>
  <si>
    <t xml:space="preserve">Arlo Brands</t>
  </si>
  <si>
    <t xml:space="preserve">19644531</t>
  </si>
  <si>
    <t xml:space="preserve">006SYNQ30000084</t>
  </si>
  <si>
    <t xml:space="preserve">Quarry Media</t>
  </si>
  <si>
    <t xml:space="preserve">10586865</t>
  </si>
  <si>
    <t xml:space="preserve">225 High Street</t>
  </si>
  <si>
    <t xml:space="preserve">006SYNQ30000006</t>
  </si>
  <si>
    <t xml:space="preserve">006SYNQ30000104</t>
  </si>
  <si>
    <t xml:space="preserve">Delmar Brands</t>
  </si>
  <si>
    <t xml:space="preserve">006SYNQ30000056</t>
  </si>
  <si>
    <t xml:space="preserve">Tidal Beauty</t>
  </si>
  <si>
    <t xml:space="preserve">15147169</t>
  </si>
  <si>
    <t xml:space="preserve">62 Market Road</t>
  </si>
  <si>
    <t xml:space="preserve">006SYNQ30000121</t>
  </si>
  <si>
    <t xml:space="preserve">Owner APJ06</t>
  </si>
  <si>
    <t xml:space="preserve">15777488</t>
  </si>
  <si>
    <t xml:space="preserve">113 Park Avenue</t>
  </si>
  <si>
    <t xml:space="preserve">006SYNQ30000046</t>
  </si>
  <si>
    <t xml:space="preserve">12168094</t>
  </si>
  <si>
    <t xml:space="preserve">233 Market Road</t>
  </si>
  <si>
    <t xml:space="preserve">006SYNQ30000079</t>
  </si>
  <si>
    <t xml:space="preserve">17277380</t>
  </si>
  <si>
    <t xml:space="preserve">120 Station Way</t>
  </si>
  <si>
    <t xml:space="preserve">006SYNQ30000021</t>
  </si>
  <si>
    <t xml:space="preserve">006SYNQ30000025</t>
  </si>
  <si>
    <t xml:space="preserve">15068431</t>
  </si>
  <si>
    <t xml:space="preserve">220 Park Avenue</t>
  </si>
  <si>
    <t xml:space="preserve">006SYNQ30000125</t>
  </si>
  <si>
    <t xml:space="preserve">Garnet Media</t>
  </si>
  <si>
    <t xml:space="preserve">12328612</t>
  </si>
  <si>
    <t xml:space="preserve">006SYNQ30000074</t>
  </si>
  <si>
    <t xml:space="preserve">17041900</t>
  </si>
  <si>
    <t xml:space="preserve">31 Market Road</t>
  </si>
  <si>
    <t xml:space="preserve">006SYNQ30000047</t>
  </si>
  <si>
    <t xml:space="preserve">Falcon Foods</t>
  </si>
  <si>
    <t xml:space="preserve">16121584</t>
  </si>
  <si>
    <t xml:space="preserve">006SYNQ30000007</t>
  </si>
  <si>
    <t xml:space="preserve">19871438</t>
  </si>
  <si>
    <t xml:space="preserve">006SYNQ30000086</t>
  </si>
  <si>
    <t xml:space="preserve">Iris Outfitters</t>
  </si>
  <si>
    <t xml:space="preserve">13709764</t>
  </si>
  <si>
    <t xml:space="preserve">50 Market Road</t>
  </si>
  <si>
    <t xml:space="preserve">006SYNQ30000126</t>
  </si>
  <si>
    <t xml:space="preserve">Delmar Outfitters</t>
  </si>
  <si>
    <t xml:space="preserve">13025806</t>
  </si>
  <si>
    <t xml:space="preserve">006SYNQ30000029</t>
  </si>
  <si>
    <t xml:space="preserve">Cobalt Beauty</t>
  </si>
  <si>
    <t xml:space="preserve">17042740</t>
  </si>
  <si>
    <t xml:space="preserve">68 Market Road</t>
  </si>
  <si>
    <t xml:space="preserve">006SYNQ30000122</t>
  </si>
  <si>
    <t xml:space="preserve">Kingsley Beauty</t>
  </si>
  <si>
    <t xml:space="preserve">14654837</t>
  </si>
  <si>
    <t xml:space="preserve">006SYNQ30000033</t>
  </si>
  <si>
    <t xml:space="preserve">Rowan Brands</t>
  </si>
  <si>
    <t xml:space="preserve">15327297</t>
  </si>
  <si>
    <t xml:space="preserve">3 High Street</t>
  </si>
  <si>
    <t xml:space="preserve">006SYNQ30000109</t>
  </si>
  <si>
    <t xml:space="preserve">18157447</t>
  </si>
  <si>
    <t xml:space="preserve">006SYNQ30000120</t>
  </si>
  <si>
    <t xml:space="preserve">Jasper Sports</t>
  </si>
  <si>
    <t xml:space="preserve">006SYNQ30000066</t>
  </si>
  <si>
    <t xml:space="preserve">10165618</t>
  </si>
  <si>
    <t xml:space="preserve">133 Station Way</t>
  </si>
  <si>
    <t xml:space="preserve">006SYNQ30000106</t>
  </si>
  <si>
    <t xml:space="preserve">Verity Media</t>
  </si>
  <si>
    <t xml:space="preserve">15838660</t>
  </si>
  <si>
    <t xml:space="preserve">120 Park Avenue</t>
  </si>
  <si>
    <t xml:space="preserve">006SYNQ30000111</t>
  </si>
  <si>
    <t xml:space="preserve">Lumen Foods</t>
  </si>
  <si>
    <t xml:space="preserve">006SYNQ30000096</t>
  </si>
  <si>
    <t xml:space="preserve">006SYNQ30000050</t>
  </si>
  <si>
    <t xml:space="preserve">12740821</t>
  </si>
  <si>
    <t xml:space="preserve">4 High Street</t>
  </si>
  <si>
    <t xml:space="preserve">006SYNQ30000057</t>
  </si>
  <si>
    <t xml:space="preserve">14610296</t>
  </si>
  <si>
    <t xml:space="preserve">93 Station Way</t>
  </si>
  <si>
    <t xml:space="preserve">006SYNQ30000048</t>
  </si>
  <si>
    <t xml:space="preserve">13451936</t>
  </si>
  <si>
    <t xml:space="preserve">72 High Street</t>
  </si>
  <si>
    <t xml:space="preserve">006SYNQ30000136</t>
  </si>
  <si>
    <t xml:space="preserve">12910089</t>
  </si>
  <si>
    <t xml:space="preserve">006SYNQ30000061</t>
  </si>
  <si>
    <t xml:space="preserve">Cobalt Brands</t>
  </si>
  <si>
    <t xml:space="preserve">12881479</t>
  </si>
  <si>
    <t xml:space="preserve">57 Park Avenue</t>
  </si>
  <si>
    <t xml:space="preserve">006SYNQ30000026</t>
  </si>
  <si>
    <t xml:space="preserve">006SYNQ30000098</t>
  </si>
  <si>
    <t xml:space="preserve">Arlo Sports</t>
  </si>
  <si>
    <t xml:space="preserve">16970149</t>
  </si>
  <si>
    <t xml:space="preserve">28 High Street</t>
  </si>
  <si>
    <t xml:space="preserve">006SYNQ30000138</t>
  </si>
  <si>
    <t xml:space="preserve">006SYNQ30000063</t>
  </si>
  <si>
    <t xml:space="preserve">Nimbus Telecom</t>
  </si>
  <si>
    <t xml:space="preserve">19980372</t>
  </si>
  <si>
    <t xml:space="preserve">183 Park Avenue</t>
  </si>
  <si>
    <t xml:space="preserve">006SYNQ30000004</t>
  </si>
  <si>
    <t xml:space="preserve">Harbor Media</t>
  </si>
  <si>
    <t xml:space="preserve">15556318</t>
  </si>
  <si>
    <t xml:space="preserve">76 Park Avenue</t>
  </si>
  <si>
    <t xml:space="preserve">006SYNQ30000049</t>
  </si>
  <si>
    <t xml:space="preserve">Tidal Retail</t>
  </si>
  <si>
    <t xml:space="preserve">10538182</t>
  </si>
  <si>
    <t xml:space="preserve">206 High Street</t>
  </si>
  <si>
    <t xml:space="preserve">Office to SAP Region</t>
  </si>
  <si>
    <t xml:space="preserve">Quarter</t>
  </si>
  <si>
    <t xml:space="preserve">Report date</t>
  </si>
  <si>
    <t xml:space="preserve">Refresh directions and handover</t>
  </si>
  <si>
    <t xml:space="preserve">Written so the next owner can run the file without me</t>
  </si>
  <si>
    <t xml:space="preserve">Data &gt; Refresh All to update the Salesforce queries and connections.</t>
  </si>
  <si>
    <t xml:space="preserve">Unhide Open General Opps CFY and check the new extract has arrived.</t>
  </si>
  <si>
    <t xml:space="preserve">On SFDC Admin Dashboard, choose the current quarter in B4.</t>
  </si>
  <si>
    <t xml:space="preserve">Hide the extract again and check the dashboard for errors after every refresh, especially lookups.</t>
  </si>
  <si>
    <t xml:space="preserve">In the close dates section, confirm every relevant month is covered.</t>
  </si>
  <si>
    <t xml:space="preserve">Hide Summary Metrics workings and the raw extract before sending.</t>
  </si>
  <si>
    <t xml:space="preserve">Maintenance: make sure no filter is left on the extract, validate the lookups after each refresh, and back the file up monthly with a date stamp.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</si>
</sst>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dd/mm/yyyy"/>
    <numFmt numFmtId="168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b val="true"/>
      <sz val="10"/>
      <color rgb="FF9A3412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374151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DD5"/>
        <bgColor rgb="FFFFF2CC"/>
      </patternFill>
    </fill>
    <fill>
      <patternFill patternType="solid">
        <fgColor rgb="FF1F3A5F"/>
        <bgColor rgb="FF374151"/>
      </patternFill>
    </fill>
    <fill>
      <patternFill patternType="solid">
        <fgColor rgb="FFE8EEF5"/>
        <bgColor rgb="FFDCFCE7"/>
      </patternFill>
    </fill>
    <fill>
      <patternFill patternType="solid">
        <fgColor rgb="FFFFF2CC"/>
        <bgColor rgb="FFFFEDD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B91C1C"/>
        <sz val="10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15803D"/>
        <sz val="10"/>
      </font>
      <fill>
        <patternFill>
          <bgColor rgb="FFDCFCE7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03D"/>
      <rgbColor rgb="FFC0C0C0"/>
      <rgbColor rgb="FF808080"/>
      <rgbColor rgb="FF9999FF"/>
      <rgbColor rgb="FFB91C1C"/>
      <rgbColor rgb="FFFFF2CC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5"/>
      <rgbColor rgb="FFCCFFCC"/>
      <rgbColor rgb="FFFFEDD5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003300"/>
      <rgbColor rgb="FF333300"/>
      <rgbColor rgb="FF9A3412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OfficeRegion" displayName="tblOfficeRegion" ref="A3:B20" headerRowCount="1" totalsRowCount="0" totalsRowShown="0">
  <autoFilter ref="A3:B20"/>
  <tableColumns count="2">
    <tableColumn id="1" name="Office"/>
    <tableColumn id="2" name="SAP Region"/>
  </tableColumns>
</table>
</file>

<file path=xl/tables/table2.xml><?xml version="1.0" encoding="utf-8"?>
<table xmlns="http://schemas.openxmlformats.org/spreadsheetml/2006/main" id="2" name="tblOpenOpps" displayName="tblOpenOpps" ref="A1:U142" headerRowCount="1" totalsRowCount="0" totalsRowShown="0">
  <autoFilter ref="A1:U142"/>
  <tableColumns count="21">
    <tableColumn id="1" name="Opportunity ID"/>
    <tableColumn id="2" name="Office"/>
    <tableColumn id="3" name="SAP Region"/>
    <tableColumn id="4" name="Account Name"/>
    <tableColumn id="5" name="Opportunity Owner"/>
    <tableColumn id="6" name="Stage"/>
    <tableColumn id="7" name="Executive Forecast Category"/>
    <tableColumn id="8" name="Close Date"/>
    <tableColumn id="9" name="Fiscal Period"/>
    <tableColumn id="10" name="SAP Paper"/>
    <tableColumn id="11" name="Forecast Tech MRR (EUR)"/>
    <tableColumn id="12" name="BP ID"/>
    <tableColumn id="13" name="Billing Address Line 1"/>
    <tableColumn id="14" name="Billing State/Province"/>
    <tableColumn id="15" name="Billing Country"/>
    <tableColumn id="16" name="Unassigned forecast"/>
    <tableColumn id="17" name="Missing tech MRR"/>
    <tableColumn id="18" name="SAP Paper missing MRR"/>
    <tableColumn id="19" name="Missing address"/>
    <tableColumn id="20" name="Missing address and BP ID"/>
    <tableColumn id="21" name="Past close 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1.75" hidden="false" customHeight="true" outlineLevel="0" collapsed="false">
      <c r="B4" s="3" t="s">
        <v>2</v>
      </c>
    </row>
    <row r="6" customFormat="false" ht="42" hidden="false" customHeight="true" outlineLevel="0" collapsed="false">
      <c r="B6" s="4" t="s">
        <v>3</v>
      </c>
    </row>
    <row r="7" customFormat="false" ht="21.75" hidden="false" customHeight="true" outlineLevel="0" collapsed="false">
      <c r="B7" s="3" t="s">
        <v>4</v>
      </c>
    </row>
    <row r="9" customFormat="false" ht="15" hidden="false" customHeight="true" outlineLevel="0" collapsed="false">
      <c r="B9" s="4" t="s">
        <v>5</v>
      </c>
    </row>
    <row r="10" customFormat="false" ht="1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4" t="s">
        <v>9</v>
      </c>
    </row>
    <row r="14" customFormat="false" ht="21.75" hidden="false" customHeight="true" outlineLevel="0" collapsed="false">
      <c r="B14" s="3" t="s">
        <v>10</v>
      </c>
    </row>
    <row r="16" customFormat="false" ht="27.7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 t="s">
        <v>13</v>
      </c>
    </row>
    <row r="19" customFormat="false" ht="15" hidden="false" customHeight="true" outlineLevel="0" collapsed="false">
      <c r="B19" s="4" t="s">
        <v>14</v>
      </c>
    </row>
    <row r="20" customFormat="false" ht="21.75" hidden="false" customHeight="true" outlineLevel="0" collapsed="false">
      <c r="B20" s="3" t="s">
        <v>15</v>
      </c>
    </row>
    <row r="22" customFormat="false" ht="27.75" hidden="false" customHeight="true" outlineLevel="0" collapsed="false">
      <c r="B22" s="4" t="s">
        <v>16</v>
      </c>
    </row>
    <row r="23" customFormat="false" ht="15" hidden="false" customHeight="true" outlineLevel="0" collapsed="false">
      <c r="B23" s="4" t="s">
        <v>17</v>
      </c>
    </row>
    <row r="24" customFormat="false" ht="27.75" hidden="false" customHeight="true" outlineLevel="0" collapsed="false">
      <c r="B24" s="4" t="s">
        <v>18</v>
      </c>
    </row>
    <row r="25" customFormat="false" ht="21.75" hidden="false" customHeight="true" outlineLevel="0" collapsed="false">
      <c r="B25" s="3" t="s">
        <v>19</v>
      </c>
    </row>
    <row r="27" customFormat="false" ht="15" hidden="false" customHeight="true" outlineLevel="0" collapsed="false">
      <c r="B27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5" t="s">
        <v>21</v>
      </c>
    </row>
    <row r="3" customFormat="false" ht="15" hidden="false" customHeight="false" outlineLevel="0" collapsed="false">
      <c r="A3" s="6" t="s">
        <v>22</v>
      </c>
      <c r="B3" s="7" t="str">
        <f aca="false">'SFDC Admin Dashboard'!B4</f>
        <v>Q3-2025</v>
      </c>
    </row>
    <row r="8" customFormat="false" ht="43.5" hidden="false" customHeight="true" outlineLevel="0" collapsed="false">
      <c r="A8" s="8" t="s">
        <v>23</v>
      </c>
      <c r="B8" s="8" t="s">
        <v>24</v>
      </c>
      <c r="C8" s="8" t="s">
        <v>25</v>
      </c>
      <c r="D8" s="8" t="s">
        <v>26</v>
      </c>
      <c r="E8" s="8" t="s">
        <v>27</v>
      </c>
      <c r="F8" s="8" t="s">
        <v>28</v>
      </c>
      <c r="G8" s="8" t="s">
        <v>29</v>
      </c>
      <c r="H8" s="8" t="s">
        <v>30</v>
      </c>
    </row>
    <row r="9" customFormat="false" ht="15" hidden="false" customHeight="false" outlineLevel="0" collapsed="false">
      <c r="A9" s="9" t="s">
        <v>31</v>
      </c>
      <c r="B9" s="10" t="n">
        <f aca="false">'SFDC Admin Dashboard'!B8</f>
        <v>21</v>
      </c>
      <c r="C9" s="11" t="n">
        <f aca="false">'SFDC Admin Dashboard'!D8</f>
        <v>0.142857142857143</v>
      </c>
      <c r="D9" s="11" t="n">
        <f aca="false">'SFDC Admin Dashboard'!D32</f>
        <v>0.0476190476190476</v>
      </c>
      <c r="E9" s="11" t="n">
        <f aca="false">'SFDC Admin Dashboard'!D44</f>
        <v>0.428571428571429</v>
      </c>
      <c r="F9" s="11" t="n">
        <f aca="false">'SFDC Admin Dashboard'!F44</f>
        <v>0.333333333333333</v>
      </c>
      <c r="G9" s="11" t="n">
        <f aca="false">'SFDC Admin Dashboard'!D56</f>
        <v>0.0476190476190476</v>
      </c>
      <c r="H9" s="12" t="str">
        <f aca="false">IF(OR(C9&gt;20%,D9&gt;15%,E9&gt;10%,F9&gt;5%,G9&gt;5%),"REVIEW","FAIR")</f>
        <v>REVIEW</v>
      </c>
    </row>
    <row r="10" customFormat="false" ht="15" hidden="false" customHeight="false" outlineLevel="0" collapsed="false">
      <c r="A10" s="9" t="s">
        <v>32</v>
      </c>
      <c r="B10" s="10" t="n">
        <f aca="false">'SFDC Admin Dashboard'!B9</f>
        <v>14</v>
      </c>
      <c r="C10" s="11" t="n">
        <f aca="false">'SFDC Admin Dashboard'!D9</f>
        <v>0.214285714285714</v>
      </c>
      <c r="D10" s="11" t="n">
        <f aca="false">'SFDC Admin Dashboard'!D33</f>
        <v>0.0714285714285714</v>
      </c>
      <c r="E10" s="11" t="n">
        <f aca="false">'SFDC Admin Dashboard'!D45</f>
        <v>0.785714285714286</v>
      </c>
      <c r="F10" s="11" t="n">
        <f aca="false">'SFDC Admin Dashboard'!F45</f>
        <v>0.357142857142857</v>
      </c>
      <c r="G10" s="11" t="n">
        <f aca="false">'SFDC Admin Dashboard'!D57</f>
        <v>0.0714285714285714</v>
      </c>
      <c r="H10" s="12" t="str">
        <f aca="false">IF(OR(C10&gt;20%,D10&gt;15%,E10&gt;10%,F10&gt;5%,G10&gt;5%),"REVIEW","FAIR")</f>
        <v>REVIEW</v>
      </c>
    </row>
    <row r="11" customFormat="false" ht="15" hidden="false" customHeight="false" outlineLevel="0" collapsed="false">
      <c r="A11" s="9" t="s">
        <v>33</v>
      </c>
      <c r="B11" s="10" t="n">
        <f aca="false">'SFDC Admin Dashboard'!B10</f>
        <v>32</v>
      </c>
      <c r="C11" s="11" t="n">
        <f aca="false">'SFDC Admin Dashboard'!D10</f>
        <v>0.03125</v>
      </c>
      <c r="D11" s="11" t="n">
        <f aca="false">'SFDC Admin Dashboard'!D34</f>
        <v>0.09375</v>
      </c>
      <c r="E11" s="11" t="n">
        <f aca="false">'SFDC Admin Dashboard'!D46</f>
        <v>0</v>
      </c>
      <c r="F11" s="11" t="n">
        <f aca="false">'SFDC Admin Dashboard'!F46</f>
        <v>0</v>
      </c>
      <c r="G11" s="11" t="n">
        <f aca="false">'SFDC Admin Dashboard'!D58</f>
        <v>0</v>
      </c>
      <c r="H11" s="12" t="str">
        <f aca="false">IF(OR(C11&gt;20%,D11&gt;15%,E11&gt;10%,F11&gt;5%,G11&gt;5%),"REVIEW","FAIR")</f>
        <v>FAIR</v>
      </c>
    </row>
    <row r="12" customFormat="false" ht="15" hidden="false" customHeight="false" outlineLevel="0" collapsed="false">
      <c r="A12" s="9" t="s">
        <v>34</v>
      </c>
      <c r="B12" s="10" t="n">
        <f aca="false">'SFDC Admin Dashboard'!B11</f>
        <v>11</v>
      </c>
      <c r="C12" s="11" t="n">
        <f aca="false">'SFDC Admin Dashboard'!D11</f>
        <v>0.0909090909090909</v>
      </c>
      <c r="D12" s="11" t="n">
        <f aca="false">'SFDC Admin Dashboard'!D35</f>
        <v>0.181818181818182</v>
      </c>
      <c r="E12" s="11" t="n">
        <f aca="false">'SFDC Admin Dashboard'!D47</f>
        <v>0</v>
      </c>
      <c r="F12" s="11" t="n">
        <f aca="false">'SFDC Admin Dashboard'!F47</f>
        <v>0</v>
      </c>
      <c r="G12" s="11" t="n">
        <f aca="false">'SFDC Admin Dashboard'!D59</f>
        <v>0</v>
      </c>
      <c r="H12" s="12" t="str">
        <f aca="false">IF(OR(C12&gt;20%,D12&gt;15%,E12&gt;10%,F12&gt;5%,G12&gt;5%),"REVIEW","FAIR")</f>
        <v>REVIEW</v>
      </c>
    </row>
    <row r="13" customFormat="false" ht="15" hidden="false" customHeight="false" outlineLevel="0" collapsed="false">
      <c r="A13" s="9" t="s">
        <v>35</v>
      </c>
      <c r="B13" s="10" t="n">
        <f aca="false">'SFDC Admin Dashboard'!B12</f>
        <v>19</v>
      </c>
      <c r="C13" s="11" t="n">
        <f aca="false">'SFDC Admin Dashboard'!D12</f>
        <v>0.0526315789473684</v>
      </c>
      <c r="D13" s="11" t="n">
        <f aca="false">'SFDC Admin Dashboard'!D36</f>
        <v>0.0526315789473684</v>
      </c>
      <c r="E13" s="11" t="n">
        <f aca="false">'SFDC Admin Dashboard'!D48</f>
        <v>0.631578947368421</v>
      </c>
      <c r="F13" s="11" t="n">
        <f aca="false">'SFDC Admin Dashboard'!F48</f>
        <v>0.263157894736842</v>
      </c>
      <c r="G13" s="11" t="n">
        <f aca="false">'SFDC Admin Dashboard'!D60</f>
        <v>0.315789473684211</v>
      </c>
      <c r="H13" s="12" t="str">
        <f aca="false">IF(OR(C13&gt;20%,D13&gt;15%,E13&gt;10%,F13&gt;5%,G13&gt;5%),"REVIEW","FAIR")</f>
        <v>REVIEW</v>
      </c>
    </row>
    <row r="14" customFormat="false" ht="15" hidden="false" customHeight="false" outlineLevel="0" collapsed="false">
      <c r="A14" s="9" t="s">
        <v>36</v>
      </c>
      <c r="B14" s="10" t="n">
        <f aca="false">'SFDC Admin Dashboard'!B13</f>
        <v>8</v>
      </c>
      <c r="C14" s="11" t="n">
        <f aca="false">'SFDC Admin Dashboard'!D13</f>
        <v>0</v>
      </c>
      <c r="D14" s="11" t="n">
        <f aca="false">'SFDC Admin Dashboard'!D37</f>
        <v>0.125</v>
      </c>
      <c r="E14" s="11" t="n">
        <f aca="false">'SFDC Admin Dashboard'!D49</f>
        <v>0</v>
      </c>
      <c r="F14" s="11" t="n">
        <f aca="false">'SFDC Admin Dashboard'!F49</f>
        <v>0</v>
      </c>
      <c r="G14" s="11" t="n">
        <f aca="false">'SFDC Admin Dashboard'!D61</f>
        <v>0</v>
      </c>
      <c r="H14" s="12" t="str">
        <f aca="false">IF(OR(C14&gt;20%,D14&gt;15%,E14&gt;10%,F14&gt;5%,G14&gt;5%),"REVIEW","FAIR")</f>
        <v>FAIR</v>
      </c>
    </row>
    <row r="15" customFormat="false" ht="15" hidden="false" customHeight="false" outlineLevel="0" collapsed="false">
      <c r="A15" s="9" t="s">
        <v>37</v>
      </c>
      <c r="B15" s="10" t="n">
        <f aca="false">'SFDC Admin Dashboard'!B14</f>
        <v>10</v>
      </c>
      <c r="C15" s="11" t="n">
        <f aca="false">'SFDC Admin Dashboard'!D14</f>
        <v>0.1</v>
      </c>
      <c r="D15" s="11" t="n">
        <f aca="false">'SFDC Admin Dashboard'!D38</f>
        <v>0.1</v>
      </c>
      <c r="E15" s="11" t="n">
        <f aca="false">'SFDC Admin Dashboard'!D50</f>
        <v>1</v>
      </c>
      <c r="F15" s="11" t="n">
        <f aca="false">'SFDC Admin Dashboard'!F50</f>
        <v>0.3</v>
      </c>
      <c r="G15" s="11" t="n">
        <f aca="false">'SFDC Admin Dashboard'!D62</f>
        <v>0</v>
      </c>
      <c r="H15" s="12" t="str">
        <f aca="false">IF(OR(C15&gt;20%,D15&gt;15%,E15&gt;10%,F15&gt;5%,G15&gt;5%),"REVIEW","FAIR")</f>
        <v>REVIEW</v>
      </c>
    </row>
    <row r="16" customFormat="false" ht="15" hidden="false" customHeight="false" outlineLevel="0" collapsed="false">
      <c r="A16" s="13" t="s">
        <v>38</v>
      </c>
      <c r="B16" s="14" t="n">
        <f aca="false">'SFDC Admin Dashboard'!B15</f>
        <v>115</v>
      </c>
      <c r="C16" s="15" t="n">
        <f aca="false">'SFDC Admin Dashboard'!D15</f>
        <v>0.0869565217391304</v>
      </c>
      <c r="D16" s="15" t="n">
        <f aca="false">'SFDC Admin Dashboard'!D39</f>
        <v>0.0869565217391304</v>
      </c>
      <c r="E16" s="15" t="n">
        <f aca="false">'SFDC Admin Dashboard'!D51</f>
        <v>0.365217391304348</v>
      </c>
      <c r="F16" s="15" t="n">
        <f aca="false">'SFDC Admin Dashboard'!F51</f>
        <v>0.173913043478261</v>
      </c>
      <c r="G16" s="15" t="n">
        <f aca="false">'SFDC Admin Dashboard'!D63</f>
        <v>0.0695652173913044</v>
      </c>
      <c r="H16" s="13" t="str">
        <f aca="false">IF(OR(C16&gt;20%,D16&gt;15%,E16&gt;10%,F16&gt;5%,G16&gt;5%),"REVIEW","FAIR")</f>
        <v>REVIEW</v>
      </c>
    </row>
    <row r="19" customFormat="false" ht="15" hidden="false" customHeight="false" outlineLevel="0" collapsed="false">
      <c r="A19" s="16" t="s">
        <v>39</v>
      </c>
    </row>
    <row r="20" customFormat="false" ht="15" hidden="false" customHeight="false" outlineLevel="0" collapsed="false">
      <c r="A20" s="17" t="s">
        <v>40</v>
      </c>
    </row>
    <row r="21" customFormat="false" ht="15" hidden="false" customHeight="false" outlineLevel="0" collapsed="false">
      <c r="A21" s="17" t="s">
        <v>41</v>
      </c>
    </row>
    <row r="22" customFormat="false" ht="15" hidden="false" customHeight="false" outlineLevel="0" collapsed="false">
      <c r="A22" s="17" t="s">
        <v>42</v>
      </c>
    </row>
    <row r="23" customFormat="false" ht="15" hidden="false" customHeight="false" outlineLevel="0" collapsed="false">
      <c r="A23" s="17" t="s">
        <v>43</v>
      </c>
    </row>
    <row r="24" customFormat="false" ht="15" hidden="false" customHeight="false" outlineLevel="0" collapsed="false">
      <c r="A24" s="17" t="s">
        <v>44</v>
      </c>
    </row>
  </sheetData>
  <conditionalFormatting sqref="H9:H16">
    <cfRule type="cellIs" priority="2" operator="equal" aboveAverage="0" equalAverage="0" bottom="0" percent="0" rank="0" text="" dxfId="0">
      <formula>"REVIEW"</formula>
    </cfRule>
    <cfRule type="cellIs" priority="3" operator="equal" aboveAverage="0" equalAverage="0" bottom="0" percent="0" rank="0" text="" dxfId="1">
      <formula>"FAIR"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6"/>
  </cols>
  <sheetData>
    <row r="2" customFormat="false" ht="17.35" hidden="false" customHeight="false" outlineLevel="0" collapsed="false">
      <c r="A2" s="5" t="str">
        <f aca="false">B4&amp;" NBS SFDC ADMIN DASHBOARD"</f>
        <v>Q3-2025 NBS SFDC ADMIN DASHBOARD</v>
      </c>
    </row>
    <row r="4" customFormat="false" ht="15" hidden="false" customHeight="false" outlineLevel="0" collapsed="false">
      <c r="A4" s="6" t="s">
        <v>22</v>
      </c>
      <c r="B4" s="18" t="s">
        <v>45</v>
      </c>
    </row>
    <row r="6" customFormat="false" ht="15" hidden="false" customHeight="false" outlineLevel="0" collapsed="false">
      <c r="A6" s="19" t="s">
        <v>46</v>
      </c>
    </row>
    <row r="7" customFormat="false" ht="30" hidden="false" customHeight="true" outlineLevel="0" collapsed="false">
      <c r="A7" s="8" t="s">
        <v>23</v>
      </c>
      <c r="B7" s="8" t="s">
        <v>47</v>
      </c>
      <c r="C7" s="8" t="s">
        <v>48</v>
      </c>
      <c r="D7" s="8" t="s">
        <v>49</v>
      </c>
    </row>
    <row r="8" customFormat="false" ht="15" hidden="false" customHeight="false" outlineLevel="0" collapsed="false">
      <c r="A8" s="9" t="s">
        <v>31</v>
      </c>
      <c r="B8" s="9" t="n">
        <f aca="false">COUNTIFS('Open General Opps CFY'!$C$2:$C$142,$A8,'Open General Opps CFY'!$I$2:$I$142,$B$4)</f>
        <v>21</v>
      </c>
      <c r="C8" s="9" t="n">
        <f aca="false">COUNTIFS('Open General Opps CFY'!$C$2:$C$142,$A8,'Open General Opps CFY'!$I$2:$I$142,$B$4,'Open General Opps CFY'!$P$2:$P$142,1)</f>
        <v>3</v>
      </c>
      <c r="D8" s="20" t="n">
        <f aca="false">IF(B8=0,0,C8/B8)</f>
        <v>0.142857142857143</v>
      </c>
    </row>
    <row r="9" customFormat="false" ht="15" hidden="false" customHeight="false" outlineLevel="0" collapsed="false">
      <c r="A9" s="9" t="s">
        <v>32</v>
      </c>
      <c r="B9" s="9" t="n">
        <f aca="false">COUNTIFS('Open General Opps CFY'!$C$2:$C$142,$A9,'Open General Opps CFY'!$I$2:$I$142,$B$4)</f>
        <v>14</v>
      </c>
      <c r="C9" s="9" t="n">
        <f aca="false">COUNTIFS('Open General Opps CFY'!$C$2:$C$142,$A9,'Open General Opps CFY'!$I$2:$I$142,$B$4,'Open General Opps CFY'!$P$2:$P$142,1)</f>
        <v>3</v>
      </c>
      <c r="D9" s="20" t="n">
        <f aca="false">IF(B9=0,0,C9/B9)</f>
        <v>0.214285714285714</v>
      </c>
    </row>
    <row r="10" customFormat="false" ht="15" hidden="false" customHeight="false" outlineLevel="0" collapsed="false">
      <c r="A10" s="9" t="s">
        <v>33</v>
      </c>
      <c r="B10" s="9" t="n">
        <f aca="false">COUNTIFS('Open General Opps CFY'!$C$2:$C$142,$A10,'Open General Opps CFY'!$I$2:$I$142,$B$4)</f>
        <v>32</v>
      </c>
      <c r="C10" s="9" t="n">
        <f aca="false">COUNTIFS('Open General Opps CFY'!$C$2:$C$142,$A10,'Open General Opps CFY'!$I$2:$I$142,$B$4,'Open General Opps CFY'!$P$2:$P$142,1)</f>
        <v>1</v>
      </c>
      <c r="D10" s="20" t="n">
        <f aca="false">IF(B10=0,0,C10/B10)</f>
        <v>0.03125</v>
      </c>
    </row>
    <row r="11" customFormat="false" ht="15" hidden="false" customHeight="false" outlineLevel="0" collapsed="false">
      <c r="A11" s="9" t="s">
        <v>34</v>
      </c>
      <c r="B11" s="9" t="n">
        <f aca="false">COUNTIFS('Open General Opps CFY'!$C$2:$C$142,$A11,'Open General Opps CFY'!$I$2:$I$142,$B$4)</f>
        <v>11</v>
      </c>
      <c r="C11" s="9" t="n">
        <f aca="false">COUNTIFS('Open General Opps CFY'!$C$2:$C$142,$A11,'Open General Opps CFY'!$I$2:$I$142,$B$4,'Open General Opps CFY'!$P$2:$P$142,1)</f>
        <v>1</v>
      </c>
      <c r="D11" s="20" t="n">
        <f aca="false">IF(B11=0,0,C11/B11)</f>
        <v>0.0909090909090909</v>
      </c>
    </row>
    <row r="12" customFormat="false" ht="15" hidden="false" customHeight="false" outlineLevel="0" collapsed="false">
      <c r="A12" s="9" t="s">
        <v>35</v>
      </c>
      <c r="B12" s="9" t="n">
        <f aca="false">COUNTIFS('Open General Opps CFY'!$C$2:$C$142,$A12,'Open General Opps CFY'!$I$2:$I$142,$B$4)</f>
        <v>19</v>
      </c>
      <c r="C12" s="9" t="n">
        <f aca="false">COUNTIFS('Open General Opps CFY'!$C$2:$C$142,$A12,'Open General Opps CFY'!$I$2:$I$142,$B$4,'Open General Opps CFY'!$P$2:$P$142,1)</f>
        <v>1</v>
      </c>
      <c r="D12" s="20" t="n">
        <f aca="false">IF(B12=0,0,C12/B12)</f>
        <v>0.0526315789473684</v>
      </c>
    </row>
    <row r="13" customFormat="false" ht="15" hidden="false" customHeight="false" outlineLevel="0" collapsed="false">
      <c r="A13" s="9" t="s">
        <v>36</v>
      </c>
      <c r="B13" s="9" t="n">
        <f aca="false">COUNTIFS('Open General Opps CFY'!$C$2:$C$142,$A13,'Open General Opps CFY'!$I$2:$I$142,$B$4)</f>
        <v>8</v>
      </c>
      <c r="C13" s="9" t="n">
        <f aca="false">COUNTIFS('Open General Opps CFY'!$C$2:$C$142,$A13,'Open General Opps CFY'!$I$2:$I$142,$B$4,'Open General Opps CFY'!$P$2:$P$142,1)</f>
        <v>0</v>
      </c>
      <c r="D13" s="20" t="n">
        <f aca="false">IF(B13=0,0,C13/B13)</f>
        <v>0</v>
      </c>
    </row>
    <row r="14" customFormat="false" ht="15" hidden="false" customHeight="false" outlineLevel="0" collapsed="false">
      <c r="A14" s="9" t="s">
        <v>37</v>
      </c>
      <c r="B14" s="9" t="n">
        <f aca="false">COUNTIFS('Open General Opps CFY'!$C$2:$C$142,$A14,'Open General Opps CFY'!$I$2:$I$142,$B$4)</f>
        <v>10</v>
      </c>
      <c r="C14" s="9" t="n">
        <f aca="false">COUNTIFS('Open General Opps CFY'!$C$2:$C$142,$A14,'Open General Opps CFY'!$I$2:$I$142,$B$4,'Open General Opps CFY'!$P$2:$P$142,1)</f>
        <v>1</v>
      </c>
      <c r="D14" s="20" t="n">
        <f aca="false">IF(B14=0,0,C14/B14)</f>
        <v>0.1</v>
      </c>
    </row>
    <row r="15" customFormat="false" ht="15" hidden="false" customHeight="false" outlineLevel="0" collapsed="false">
      <c r="A15" s="13" t="s">
        <v>38</v>
      </c>
      <c r="B15" s="13" t="n">
        <f aca="false">SUM(B8:B14)</f>
        <v>115</v>
      </c>
      <c r="C15" s="13" t="n">
        <f aca="false">SUM(C8:C14)</f>
        <v>10</v>
      </c>
      <c r="D15" s="21" t="n">
        <f aca="false">IF(B15=0,0,C15/B15)</f>
        <v>0.0869565217391304</v>
      </c>
    </row>
    <row r="18" customFormat="false" ht="15" hidden="false" customHeight="false" outlineLevel="0" collapsed="false">
      <c r="A18" s="19" t="s">
        <v>50</v>
      </c>
    </row>
    <row r="19" customFormat="false" ht="30" hidden="false" customHeight="true" outlineLevel="0" collapsed="false">
      <c r="A19" s="8" t="s">
        <v>23</v>
      </c>
      <c r="B19" s="8" t="s">
        <v>51</v>
      </c>
      <c r="C19" s="8" t="s">
        <v>52</v>
      </c>
      <c r="D19" s="8" t="s">
        <v>53</v>
      </c>
      <c r="E19" s="8" t="s">
        <v>54</v>
      </c>
      <c r="F19" s="8" t="s">
        <v>55</v>
      </c>
    </row>
    <row r="20" customFormat="false" ht="15" hidden="false" customHeight="false" outlineLevel="0" collapsed="false">
      <c r="A20" s="9" t="s">
        <v>31</v>
      </c>
      <c r="B20" s="9" t="n">
        <f aca="false">COUNTIFS('Open General Opps CFY'!$C$2:$C$142,$A20,'Open General Opps CFY'!$I$2:$I$142,$B$4,'Open General Opps CFY'!$F$2:$F$142,"Business chemistry &amp; Scoping")</f>
        <v>4</v>
      </c>
      <c r="C20" s="9" t="n">
        <f aca="false">COUNTIFS('Open General Opps CFY'!$C$2:$C$142,$A20,'Open General Opps CFY'!$I$2:$I$142,$B$4,'Open General Opps CFY'!$F$2:$F$142,"Solution Presentation")</f>
        <v>8</v>
      </c>
      <c r="D20" s="9" t="n">
        <f aca="false">COUNTIFS('Open General Opps CFY'!$C$2:$C$142,$A20,'Open General Opps CFY'!$I$2:$I$142,$B$4,'Open General Opps CFY'!$F$2:$F$142,"Tech Agreement")</f>
        <v>4</v>
      </c>
      <c r="E20" s="9" t="n">
        <f aca="false">COUNTIFS('Open General Opps CFY'!$C$2:$C$142,$A20,'Open General Opps CFY'!$I$2:$I$142,$B$4,'Open General Opps CFY'!$F$2:$F$142,"Commercial Agreement")</f>
        <v>4</v>
      </c>
      <c r="F20" s="9" t="n">
        <f aca="false">COUNTIFS('Open General Opps CFY'!$C$2:$C$142,$A20,'Open General Opps CFY'!$I$2:$I$142,$B$4,'Open General Opps CFY'!$F$2:$F$142,"Contracting")</f>
        <v>1</v>
      </c>
    </row>
    <row r="21" customFormat="false" ht="15" hidden="false" customHeight="false" outlineLevel="0" collapsed="false">
      <c r="A21" s="9" t="s">
        <v>32</v>
      </c>
      <c r="B21" s="9" t="n">
        <f aca="false">COUNTIFS('Open General Opps CFY'!$C$2:$C$142,$A21,'Open General Opps CFY'!$I$2:$I$142,$B$4,'Open General Opps CFY'!$F$2:$F$142,"Business chemistry &amp; Scoping")</f>
        <v>3</v>
      </c>
      <c r="C21" s="9" t="n">
        <f aca="false">COUNTIFS('Open General Opps CFY'!$C$2:$C$142,$A21,'Open General Opps CFY'!$I$2:$I$142,$B$4,'Open General Opps CFY'!$F$2:$F$142,"Solution Presentation")</f>
        <v>5</v>
      </c>
      <c r="D21" s="9" t="n">
        <f aca="false">COUNTIFS('Open General Opps CFY'!$C$2:$C$142,$A21,'Open General Opps CFY'!$I$2:$I$142,$B$4,'Open General Opps CFY'!$F$2:$F$142,"Tech Agreement")</f>
        <v>1</v>
      </c>
      <c r="E21" s="9" t="n">
        <f aca="false">COUNTIFS('Open General Opps CFY'!$C$2:$C$142,$A21,'Open General Opps CFY'!$I$2:$I$142,$B$4,'Open General Opps CFY'!$F$2:$F$142,"Commercial Agreement")</f>
        <v>4</v>
      </c>
      <c r="F21" s="9" t="n">
        <f aca="false">COUNTIFS('Open General Opps CFY'!$C$2:$C$142,$A21,'Open General Opps CFY'!$I$2:$I$142,$B$4,'Open General Opps CFY'!$F$2:$F$142,"Contracting")</f>
        <v>1</v>
      </c>
    </row>
    <row r="22" customFormat="false" ht="15" hidden="false" customHeight="false" outlineLevel="0" collapsed="false">
      <c r="A22" s="9" t="s">
        <v>33</v>
      </c>
      <c r="B22" s="9" t="n">
        <f aca="false">COUNTIFS('Open General Opps CFY'!$C$2:$C$142,$A22,'Open General Opps CFY'!$I$2:$I$142,$B$4,'Open General Opps CFY'!$F$2:$F$142,"Business chemistry &amp; Scoping")</f>
        <v>12</v>
      </c>
      <c r="C22" s="9" t="n">
        <f aca="false">COUNTIFS('Open General Opps CFY'!$C$2:$C$142,$A22,'Open General Opps CFY'!$I$2:$I$142,$B$4,'Open General Opps CFY'!$F$2:$F$142,"Solution Presentation")</f>
        <v>8</v>
      </c>
      <c r="D22" s="9" t="n">
        <f aca="false">COUNTIFS('Open General Opps CFY'!$C$2:$C$142,$A22,'Open General Opps CFY'!$I$2:$I$142,$B$4,'Open General Opps CFY'!$F$2:$F$142,"Tech Agreement")</f>
        <v>6</v>
      </c>
      <c r="E22" s="9" t="n">
        <f aca="false">COUNTIFS('Open General Opps CFY'!$C$2:$C$142,$A22,'Open General Opps CFY'!$I$2:$I$142,$B$4,'Open General Opps CFY'!$F$2:$F$142,"Commercial Agreement")</f>
        <v>5</v>
      </c>
      <c r="F22" s="9" t="n">
        <f aca="false">COUNTIFS('Open General Opps CFY'!$C$2:$C$142,$A22,'Open General Opps CFY'!$I$2:$I$142,$B$4,'Open General Opps CFY'!$F$2:$F$142,"Contracting")</f>
        <v>1</v>
      </c>
    </row>
    <row r="23" customFormat="false" ht="15" hidden="false" customHeight="false" outlineLevel="0" collapsed="false">
      <c r="A23" s="9" t="s">
        <v>34</v>
      </c>
      <c r="B23" s="9" t="n">
        <f aca="false">COUNTIFS('Open General Opps CFY'!$C$2:$C$142,$A23,'Open General Opps CFY'!$I$2:$I$142,$B$4,'Open General Opps CFY'!$F$2:$F$142,"Business chemistry &amp; Scoping")</f>
        <v>5</v>
      </c>
      <c r="C23" s="9" t="n">
        <f aca="false">COUNTIFS('Open General Opps CFY'!$C$2:$C$142,$A23,'Open General Opps CFY'!$I$2:$I$142,$B$4,'Open General Opps CFY'!$F$2:$F$142,"Solution Presentation")</f>
        <v>5</v>
      </c>
      <c r="D23" s="9" t="n">
        <f aca="false">COUNTIFS('Open General Opps CFY'!$C$2:$C$142,$A23,'Open General Opps CFY'!$I$2:$I$142,$B$4,'Open General Opps CFY'!$F$2:$F$142,"Tech Agreement")</f>
        <v>1</v>
      </c>
      <c r="E23" s="9" t="n">
        <f aca="false">COUNTIFS('Open General Opps CFY'!$C$2:$C$142,$A23,'Open General Opps CFY'!$I$2:$I$142,$B$4,'Open General Opps CFY'!$F$2:$F$142,"Commercial Agreement")</f>
        <v>0</v>
      </c>
      <c r="F23" s="9" t="n">
        <f aca="false">COUNTIFS('Open General Opps CFY'!$C$2:$C$142,$A23,'Open General Opps CFY'!$I$2:$I$142,$B$4,'Open General Opps CFY'!$F$2:$F$142,"Contracting")</f>
        <v>0</v>
      </c>
    </row>
    <row r="24" customFormat="false" ht="15" hidden="false" customHeight="false" outlineLevel="0" collapsed="false">
      <c r="A24" s="9" t="s">
        <v>35</v>
      </c>
      <c r="B24" s="9" t="n">
        <f aca="false">COUNTIFS('Open General Opps CFY'!$C$2:$C$142,$A24,'Open General Opps CFY'!$I$2:$I$142,$B$4,'Open General Opps CFY'!$F$2:$F$142,"Business chemistry &amp; Scoping")</f>
        <v>3</v>
      </c>
      <c r="C24" s="9" t="n">
        <f aca="false">COUNTIFS('Open General Opps CFY'!$C$2:$C$142,$A24,'Open General Opps CFY'!$I$2:$I$142,$B$4,'Open General Opps CFY'!$F$2:$F$142,"Solution Presentation")</f>
        <v>6</v>
      </c>
      <c r="D24" s="9" t="n">
        <f aca="false">COUNTIFS('Open General Opps CFY'!$C$2:$C$142,$A24,'Open General Opps CFY'!$I$2:$I$142,$B$4,'Open General Opps CFY'!$F$2:$F$142,"Tech Agreement")</f>
        <v>3</v>
      </c>
      <c r="E24" s="9" t="n">
        <f aca="false">COUNTIFS('Open General Opps CFY'!$C$2:$C$142,$A24,'Open General Opps CFY'!$I$2:$I$142,$B$4,'Open General Opps CFY'!$F$2:$F$142,"Commercial Agreement")</f>
        <v>4</v>
      </c>
      <c r="F24" s="9" t="n">
        <f aca="false">COUNTIFS('Open General Opps CFY'!$C$2:$C$142,$A24,'Open General Opps CFY'!$I$2:$I$142,$B$4,'Open General Opps CFY'!$F$2:$F$142,"Contracting")</f>
        <v>3</v>
      </c>
    </row>
    <row r="25" customFormat="false" ht="15" hidden="false" customHeight="false" outlineLevel="0" collapsed="false">
      <c r="A25" s="9" t="s">
        <v>36</v>
      </c>
      <c r="B25" s="9" t="n">
        <f aca="false">COUNTIFS('Open General Opps CFY'!$C$2:$C$142,$A25,'Open General Opps CFY'!$I$2:$I$142,$B$4,'Open General Opps CFY'!$F$2:$F$142,"Business chemistry &amp; Scoping")</f>
        <v>3</v>
      </c>
      <c r="C25" s="9" t="n">
        <f aca="false">COUNTIFS('Open General Opps CFY'!$C$2:$C$142,$A25,'Open General Opps CFY'!$I$2:$I$142,$B$4,'Open General Opps CFY'!$F$2:$F$142,"Solution Presentation")</f>
        <v>0</v>
      </c>
      <c r="D25" s="9" t="n">
        <f aca="false">COUNTIFS('Open General Opps CFY'!$C$2:$C$142,$A25,'Open General Opps CFY'!$I$2:$I$142,$B$4,'Open General Opps CFY'!$F$2:$F$142,"Tech Agreement")</f>
        <v>2</v>
      </c>
      <c r="E25" s="9" t="n">
        <f aca="false">COUNTIFS('Open General Opps CFY'!$C$2:$C$142,$A25,'Open General Opps CFY'!$I$2:$I$142,$B$4,'Open General Opps CFY'!$F$2:$F$142,"Commercial Agreement")</f>
        <v>3</v>
      </c>
      <c r="F25" s="9" t="n">
        <f aca="false">COUNTIFS('Open General Opps CFY'!$C$2:$C$142,$A25,'Open General Opps CFY'!$I$2:$I$142,$B$4,'Open General Opps CFY'!$F$2:$F$142,"Contracting")</f>
        <v>0</v>
      </c>
    </row>
    <row r="26" customFormat="false" ht="15" hidden="false" customHeight="false" outlineLevel="0" collapsed="false">
      <c r="A26" s="9" t="s">
        <v>37</v>
      </c>
      <c r="B26" s="9" t="n">
        <f aca="false">COUNTIFS('Open General Opps CFY'!$C$2:$C$142,$A26,'Open General Opps CFY'!$I$2:$I$142,$B$4,'Open General Opps CFY'!$F$2:$F$142,"Business chemistry &amp; Scoping")</f>
        <v>5</v>
      </c>
      <c r="C26" s="9" t="n">
        <f aca="false">COUNTIFS('Open General Opps CFY'!$C$2:$C$142,$A26,'Open General Opps CFY'!$I$2:$I$142,$B$4,'Open General Opps CFY'!$F$2:$F$142,"Solution Presentation")</f>
        <v>1</v>
      </c>
      <c r="D26" s="9" t="n">
        <f aca="false">COUNTIFS('Open General Opps CFY'!$C$2:$C$142,$A26,'Open General Opps CFY'!$I$2:$I$142,$B$4,'Open General Opps CFY'!$F$2:$F$142,"Tech Agreement")</f>
        <v>1</v>
      </c>
      <c r="E26" s="9" t="n">
        <f aca="false">COUNTIFS('Open General Opps CFY'!$C$2:$C$142,$A26,'Open General Opps CFY'!$I$2:$I$142,$B$4,'Open General Opps CFY'!$F$2:$F$142,"Commercial Agreement")</f>
        <v>3</v>
      </c>
      <c r="F26" s="9" t="n">
        <f aca="false">COUNTIFS('Open General Opps CFY'!$C$2:$C$142,$A26,'Open General Opps CFY'!$I$2:$I$142,$B$4,'Open General Opps CFY'!$F$2:$F$142,"Contracting")</f>
        <v>0</v>
      </c>
    </row>
    <row r="27" customFormat="false" ht="15" hidden="false" customHeight="false" outlineLevel="0" collapsed="false">
      <c r="A27" s="13" t="s">
        <v>38</v>
      </c>
      <c r="B27" s="13" t="n">
        <f aca="false">SUM(B20:B26)</f>
        <v>35</v>
      </c>
      <c r="C27" s="13" t="n">
        <f aca="false">SUM(C20:C26)</f>
        <v>33</v>
      </c>
      <c r="D27" s="13" t="n">
        <f aca="false">SUM(D20:D26)</f>
        <v>18</v>
      </c>
      <c r="E27" s="13" t="n">
        <f aca="false">SUM(E20:E26)</f>
        <v>23</v>
      </c>
      <c r="F27" s="13" t="n">
        <f aca="false">SUM(F20:F26)</f>
        <v>6</v>
      </c>
    </row>
    <row r="30" customFormat="false" ht="15" hidden="false" customHeight="false" outlineLevel="0" collapsed="false">
      <c r="A30" s="19" t="s">
        <v>56</v>
      </c>
    </row>
    <row r="31" customFormat="false" ht="30" hidden="false" customHeight="true" outlineLevel="0" collapsed="false">
      <c r="A31" s="8" t="s">
        <v>23</v>
      </c>
      <c r="B31" s="8" t="s">
        <v>47</v>
      </c>
      <c r="C31" s="8" t="s">
        <v>57</v>
      </c>
      <c r="D31" s="8" t="s">
        <v>58</v>
      </c>
      <c r="E31" s="8" t="s">
        <v>59</v>
      </c>
      <c r="F31" s="8" t="s">
        <v>60</v>
      </c>
    </row>
    <row r="32" customFormat="false" ht="15" hidden="false" customHeight="false" outlineLevel="0" collapsed="false">
      <c r="A32" s="9" t="s">
        <v>31</v>
      </c>
      <c r="B32" s="9" t="n">
        <f aca="false">COUNTIFS('Open General Opps CFY'!$C$2:$C$142,$A32,'Open General Opps CFY'!$I$2:$I$142,$B$4)</f>
        <v>21</v>
      </c>
      <c r="C32" s="9" t="n">
        <f aca="false">COUNTIFS('Open General Opps CFY'!$C$2:$C$142,$A32,'Open General Opps CFY'!$I$2:$I$142,$B$4,'Open General Opps CFY'!$Q$2:$Q$142,1)</f>
        <v>1</v>
      </c>
      <c r="D32" s="20" t="n">
        <f aca="false">IF(B32=0,0,C32/B32)</f>
        <v>0.0476190476190476</v>
      </c>
      <c r="E32" s="9" t="n">
        <f aca="false">COUNTIFS('Open General Opps CFY'!$C$2:$C$142,$A32,'Open General Opps CFY'!$I$2:$I$142,$B$4,'Open General Opps CFY'!$J$2:$J$142,TRUE())</f>
        <v>6</v>
      </c>
      <c r="F32" s="9" t="n">
        <f aca="false">COUNTIFS('Open General Opps CFY'!$C$2:$C$142,$A32,'Open General Opps CFY'!$I$2:$I$142,$B$4,'Open General Opps CFY'!$R$2:$R$142,1)</f>
        <v>0</v>
      </c>
    </row>
    <row r="33" customFormat="false" ht="15" hidden="false" customHeight="false" outlineLevel="0" collapsed="false">
      <c r="A33" s="9" t="s">
        <v>32</v>
      </c>
      <c r="B33" s="9" t="n">
        <f aca="false">COUNTIFS('Open General Opps CFY'!$C$2:$C$142,$A33,'Open General Opps CFY'!$I$2:$I$142,$B$4)</f>
        <v>14</v>
      </c>
      <c r="C33" s="9" t="n">
        <f aca="false">COUNTIFS('Open General Opps CFY'!$C$2:$C$142,$A33,'Open General Opps CFY'!$I$2:$I$142,$B$4,'Open General Opps CFY'!$Q$2:$Q$142,1)</f>
        <v>1</v>
      </c>
      <c r="D33" s="20" t="n">
        <f aca="false">IF(B33=0,0,C33/B33)</f>
        <v>0.0714285714285714</v>
      </c>
      <c r="E33" s="9" t="n">
        <f aca="false">COUNTIFS('Open General Opps CFY'!$C$2:$C$142,$A33,'Open General Opps CFY'!$I$2:$I$142,$B$4,'Open General Opps CFY'!$J$2:$J$142,TRUE())</f>
        <v>9</v>
      </c>
      <c r="F33" s="9" t="n">
        <f aca="false">COUNTIFS('Open General Opps CFY'!$C$2:$C$142,$A33,'Open General Opps CFY'!$I$2:$I$142,$B$4,'Open General Opps CFY'!$R$2:$R$142,1)</f>
        <v>0</v>
      </c>
    </row>
    <row r="34" customFormat="false" ht="15" hidden="false" customHeight="false" outlineLevel="0" collapsed="false">
      <c r="A34" s="9" t="s">
        <v>33</v>
      </c>
      <c r="B34" s="9" t="n">
        <f aca="false">COUNTIFS('Open General Opps CFY'!$C$2:$C$142,$A34,'Open General Opps CFY'!$I$2:$I$142,$B$4)</f>
        <v>32</v>
      </c>
      <c r="C34" s="9" t="n">
        <f aca="false">COUNTIFS('Open General Opps CFY'!$C$2:$C$142,$A34,'Open General Opps CFY'!$I$2:$I$142,$B$4,'Open General Opps CFY'!$Q$2:$Q$142,1)</f>
        <v>3</v>
      </c>
      <c r="D34" s="20" t="n">
        <f aca="false">IF(B34=0,0,C34/B34)</f>
        <v>0.09375</v>
      </c>
      <c r="E34" s="9" t="n">
        <f aca="false">COUNTIFS('Open General Opps CFY'!$C$2:$C$142,$A34,'Open General Opps CFY'!$I$2:$I$142,$B$4,'Open General Opps CFY'!$J$2:$J$142,TRUE())</f>
        <v>12</v>
      </c>
      <c r="F34" s="9" t="n">
        <f aca="false">COUNTIFS('Open General Opps CFY'!$C$2:$C$142,$A34,'Open General Opps CFY'!$I$2:$I$142,$B$4,'Open General Opps CFY'!$R$2:$R$142,1)</f>
        <v>1</v>
      </c>
    </row>
    <row r="35" customFormat="false" ht="15" hidden="false" customHeight="false" outlineLevel="0" collapsed="false">
      <c r="A35" s="9" t="s">
        <v>34</v>
      </c>
      <c r="B35" s="9" t="n">
        <f aca="false">COUNTIFS('Open General Opps CFY'!$C$2:$C$142,$A35,'Open General Opps CFY'!$I$2:$I$142,$B$4)</f>
        <v>11</v>
      </c>
      <c r="C35" s="9" t="n">
        <f aca="false">COUNTIFS('Open General Opps CFY'!$C$2:$C$142,$A35,'Open General Opps CFY'!$I$2:$I$142,$B$4,'Open General Opps CFY'!$Q$2:$Q$142,1)</f>
        <v>2</v>
      </c>
      <c r="D35" s="20" t="n">
        <f aca="false">IF(B35=0,0,C35/B35)</f>
        <v>0.181818181818182</v>
      </c>
      <c r="E35" s="9" t="n">
        <f aca="false">COUNTIFS('Open General Opps CFY'!$C$2:$C$142,$A35,'Open General Opps CFY'!$I$2:$I$142,$B$4,'Open General Opps CFY'!$J$2:$J$142,TRUE())</f>
        <v>5</v>
      </c>
      <c r="F35" s="9" t="n">
        <f aca="false">COUNTIFS('Open General Opps CFY'!$C$2:$C$142,$A35,'Open General Opps CFY'!$I$2:$I$142,$B$4,'Open General Opps CFY'!$R$2:$R$142,1)</f>
        <v>0</v>
      </c>
    </row>
    <row r="36" customFormat="false" ht="15" hidden="false" customHeight="false" outlineLevel="0" collapsed="false">
      <c r="A36" s="9" t="s">
        <v>35</v>
      </c>
      <c r="B36" s="9" t="n">
        <f aca="false">COUNTIFS('Open General Opps CFY'!$C$2:$C$142,$A36,'Open General Opps CFY'!$I$2:$I$142,$B$4)</f>
        <v>19</v>
      </c>
      <c r="C36" s="9" t="n">
        <f aca="false">COUNTIFS('Open General Opps CFY'!$C$2:$C$142,$A36,'Open General Opps CFY'!$I$2:$I$142,$B$4,'Open General Opps CFY'!$Q$2:$Q$142,1)</f>
        <v>1</v>
      </c>
      <c r="D36" s="20" t="n">
        <f aca="false">IF(B36=0,0,C36/B36)</f>
        <v>0.0526315789473684</v>
      </c>
      <c r="E36" s="9" t="n">
        <f aca="false">COUNTIFS('Open General Opps CFY'!$C$2:$C$142,$A36,'Open General Opps CFY'!$I$2:$I$142,$B$4,'Open General Opps CFY'!$J$2:$J$142,TRUE())</f>
        <v>10</v>
      </c>
      <c r="F36" s="9" t="n">
        <f aca="false">COUNTIFS('Open General Opps CFY'!$C$2:$C$142,$A36,'Open General Opps CFY'!$I$2:$I$142,$B$4,'Open General Opps CFY'!$R$2:$R$142,1)</f>
        <v>1</v>
      </c>
    </row>
    <row r="37" customFormat="false" ht="15" hidden="false" customHeight="false" outlineLevel="0" collapsed="false">
      <c r="A37" s="9" t="s">
        <v>36</v>
      </c>
      <c r="B37" s="9" t="n">
        <f aca="false">COUNTIFS('Open General Opps CFY'!$C$2:$C$142,$A37,'Open General Opps CFY'!$I$2:$I$142,$B$4)</f>
        <v>8</v>
      </c>
      <c r="C37" s="9" t="n">
        <f aca="false">COUNTIFS('Open General Opps CFY'!$C$2:$C$142,$A37,'Open General Opps CFY'!$I$2:$I$142,$B$4,'Open General Opps CFY'!$Q$2:$Q$142,1)</f>
        <v>1</v>
      </c>
      <c r="D37" s="20" t="n">
        <f aca="false">IF(B37=0,0,C37/B37)</f>
        <v>0.125</v>
      </c>
      <c r="E37" s="9" t="n">
        <f aca="false">COUNTIFS('Open General Opps CFY'!$C$2:$C$142,$A37,'Open General Opps CFY'!$I$2:$I$142,$B$4,'Open General Opps CFY'!$J$2:$J$142,TRUE())</f>
        <v>2</v>
      </c>
      <c r="F37" s="9" t="n">
        <f aca="false">COUNTIFS('Open General Opps CFY'!$C$2:$C$142,$A37,'Open General Opps CFY'!$I$2:$I$142,$B$4,'Open General Opps CFY'!$R$2:$R$142,1)</f>
        <v>0</v>
      </c>
    </row>
    <row r="38" customFormat="false" ht="15" hidden="false" customHeight="false" outlineLevel="0" collapsed="false">
      <c r="A38" s="9" t="s">
        <v>37</v>
      </c>
      <c r="B38" s="9" t="n">
        <f aca="false">COUNTIFS('Open General Opps CFY'!$C$2:$C$142,$A38,'Open General Opps CFY'!$I$2:$I$142,$B$4)</f>
        <v>10</v>
      </c>
      <c r="C38" s="9" t="n">
        <f aca="false">COUNTIFS('Open General Opps CFY'!$C$2:$C$142,$A38,'Open General Opps CFY'!$I$2:$I$142,$B$4,'Open General Opps CFY'!$Q$2:$Q$142,1)</f>
        <v>1</v>
      </c>
      <c r="D38" s="20" t="n">
        <f aca="false">IF(B38=0,0,C38/B38)</f>
        <v>0.1</v>
      </c>
      <c r="E38" s="9" t="n">
        <f aca="false">COUNTIFS('Open General Opps CFY'!$C$2:$C$142,$A38,'Open General Opps CFY'!$I$2:$I$142,$B$4,'Open General Opps CFY'!$J$2:$J$142,TRUE())</f>
        <v>4</v>
      </c>
      <c r="F38" s="9" t="n">
        <f aca="false">COUNTIFS('Open General Opps CFY'!$C$2:$C$142,$A38,'Open General Opps CFY'!$I$2:$I$142,$B$4,'Open General Opps CFY'!$R$2:$R$142,1)</f>
        <v>1</v>
      </c>
    </row>
    <row r="39" customFormat="false" ht="15" hidden="false" customHeight="false" outlineLevel="0" collapsed="false">
      <c r="A39" s="13" t="s">
        <v>38</v>
      </c>
      <c r="B39" s="13" t="n">
        <f aca="false">SUM(B32:B38)</f>
        <v>115</v>
      </c>
      <c r="C39" s="13" t="n">
        <f aca="false">SUM(C32:C38)</f>
        <v>10</v>
      </c>
      <c r="D39" s="21" t="n">
        <f aca="false">IF(B39=0,0,C39/B39)</f>
        <v>0.0869565217391304</v>
      </c>
      <c r="E39" s="13" t="n">
        <f aca="false">SUM(E32:E38)</f>
        <v>48</v>
      </c>
      <c r="F39" s="13" t="n">
        <f aca="false">SUM(F32:F38)</f>
        <v>3</v>
      </c>
    </row>
    <row r="42" customFormat="false" ht="15" hidden="false" customHeight="false" outlineLevel="0" collapsed="false">
      <c r="A42" s="19" t="s">
        <v>61</v>
      </c>
    </row>
    <row r="43" customFormat="false" ht="30" hidden="false" customHeight="true" outlineLevel="0" collapsed="false">
      <c r="A43" s="8" t="s">
        <v>23</v>
      </c>
      <c r="B43" s="8" t="s">
        <v>47</v>
      </c>
      <c r="C43" s="8" t="s">
        <v>62</v>
      </c>
      <c r="D43" s="8" t="s">
        <v>27</v>
      </c>
      <c r="E43" s="8" t="s">
        <v>63</v>
      </c>
      <c r="F43" s="8" t="s">
        <v>28</v>
      </c>
    </row>
    <row r="44" customFormat="false" ht="15" hidden="false" customHeight="false" outlineLevel="0" collapsed="false">
      <c r="A44" s="9" t="s">
        <v>31</v>
      </c>
      <c r="B44" s="9" t="n">
        <f aca="false">COUNTIFS('Open General Opps CFY'!$C$2:$C$142,$A44,'Open General Opps CFY'!$I$2:$I$142,$B$4)</f>
        <v>21</v>
      </c>
      <c r="C44" s="9" t="n">
        <f aca="false">COUNTIFS('Open General Opps CFY'!$C$2:$C$142,$A44,'Open General Opps CFY'!$I$2:$I$142,$B$4,'Open General Opps CFY'!$S$2:$S$142,1)</f>
        <v>9</v>
      </c>
      <c r="D44" s="20" t="n">
        <f aca="false">IF(B44=0,0,C44/B44)</f>
        <v>0.428571428571429</v>
      </c>
      <c r="E44" s="9" t="n">
        <f aca="false">COUNTIFS('Open General Opps CFY'!$C$2:$C$142,$A44,'Open General Opps CFY'!$I$2:$I$142,$B$4,'Open General Opps CFY'!$T$2:$T$142,1)</f>
        <v>7</v>
      </c>
      <c r="F44" s="20" t="n">
        <f aca="false">IF(B44=0,0,E44/B44)</f>
        <v>0.333333333333333</v>
      </c>
    </row>
    <row r="45" customFormat="false" ht="15" hidden="false" customHeight="false" outlineLevel="0" collapsed="false">
      <c r="A45" s="9" t="s">
        <v>32</v>
      </c>
      <c r="B45" s="9" t="n">
        <f aca="false">COUNTIFS('Open General Opps CFY'!$C$2:$C$142,$A45,'Open General Opps CFY'!$I$2:$I$142,$B$4)</f>
        <v>14</v>
      </c>
      <c r="C45" s="9" t="n">
        <f aca="false">COUNTIFS('Open General Opps CFY'!$C$2:$C$142,$A45,'Open General Opps CFY'!$I$2:$I$142,$B$4,'Open General Opps CFY'!$S$2:$S$142,1)</f>
        <v>11</v>
      </c>
      <c r="D45" s="20" t="n">
        <f aca="false">IF(B45=0,0,C45/B45)</f>
        <v>0.785714285714286</v>
      </c>
      <c r="E45" s="9" t="n">
        <f aca="false">COUNTIFS('Open General Opps CFY'!$C$2:$C$142,$A45,'Open General Opps CFY'!$I$2:$I$142,$B$4,'Open General Opps CFY'!$T$2:$T$142,1)</f>
        <v>5</v>
      </c>
      <c r="F45" s="20" t="n">
        <f aca="false">IF(B45=0,0,E45/B45)</f>
        <v>0.357142857142857</v>
      </c>
    </row>
    <row r="46" customFormat="false" ht="15" hidden="false" customHeight="false" outlineLevel="0" collapsed="false">
      <c r="A46" s="9" t="s">
        <v>33</v>
      </c>
      <c r="B46" s="9" t="n">
        <f aca="false">COUNTIFS('Open General Opps CFY'!$C$2:$C$142,$A46,'Open General Opps CFY'!$I$2:$I$142,$B$4)</f>
        <v>32</v>
      </c>
      <c r="C46" s="9" t="n">
        <f aca="false">COUNTIFS('Open General Opps CFY'!$C$2:$C$142,$A46,'Open General Opps CFY'!$I$2:$I$142,$B$4,'Open General Opps CFY'!$S$2:$S$142,1)</f>
        <v>0</v>
      </c>
      <c r="D46" s="20" t="n">
        <f aca="false">IF(B46=0,0,C46/B46)</f>
        <v>0</v>
      </c>
      <c r="E46" s="9" t="n">
        <f aca="false">COUNTIFS('Open General Opps CFY'!$C$2:$C$142,$A46,'Open General Opps CFY'!$I$2:$I$142,$B$4,'Open General Opps CFY'!$T$2:$T$142,1)</f>
        <v>0</v>
      </c>
      <c r="F46" s="20" t="n">
        <f aca="false">IF(B46=0,0,E46/B46)</f>
        <v>0</v>
      </c>
    </row>
    <row r="47" customFormat="false" ht="15" hidden="false" customHeight="false" outlineLevel="0" collapsed="false">
      <c r="A47" s="9" t="s">
        <v>34</v>
      </c>
      <c r="B47" s="9" t="n">
        <f aca="false">COUNTIFS('Open General Opps CFY'!$C$2:$C$142,$A47,'Open General Opps CFY'!$I$2:$I$142,$B$4)</f>
        <v>11</v>
      </c>
      <c r="C47" s="9" t="n">
        <f aca="false">COUNTIFS('Open General Opps CFY'!$C$2:$C$142,$A47,'Open General Opps CFY'!$I$2:$I$142,$B$4,'Open General Opps CFY'!$S$2:$S$142,1)</f>
        <v>0</v>
      </c>
      <c r="D47" s="20" t="n">
        <f aca="false">IF(B47=0,0,C47/B47)</f>
        <v>0</v>
      </c>
      <c r="E47" s="9" t="n">
        <f aca="false">COUNTIFS('Open General Opps CFY'!$C$2:$C$142,$A47,'Open General Opps CFY'!$I$2:$I$142,$B$4,'Open General Opps CFY'!$T$2:$T$142,1)</f>
        <v>0</v>
      </c>
      <c r="F47" s="20" t="n">
        <f aca="false">IF(B47=0,0,E47/B47)</f>
        <v>0</v>
      </c>
    </row>
    <row r="48" customFormat="false" ht="15" hidden="false" customHeight="false" outlineLevel="0" collapsed="false">
      <c r="A48" s="9" t="s">
        <v>35</v>
      </c>
      <c r="B48" s="9" t="n">
        <f aca="false">COUNTIFS('Open General Opps CFY'!$C$2:$C$142,$A48,'Open General Opps CFY'!$I$2:$I$142,$B$4)</f>
        <v>19</v>
      </c>
      <c r="C48" s="9" t="n">
        <f aca="false">COUNTIFS('Open General Opps CFY'!$C$2:$C$142,$A48,'Open General Opps CFY'!$I$2:$I$142,$B$4,'Open General Opps CFY'!$S$2:$S$142,1)</f>
        <v>12</v>
      </c>
      <c r="D48" s="20" t="n">
        <f aca="false">IF(B48=0,0,C48/B48)</f>
        <v>0.631578947368421</v>
      </c>
      <c r="E48" s="9" t="n">
        <f aca="false">COUNTIFS('Open General Opps CFY'!$C$2:$C$142,$A48,'Open General Opps CFY'!$I$2:$I$142,$B$4,'Open General Opps CFY'!$T$2:$T$142,1)</f>
        <v>5</v>
      </c>
      <c r="F48" s="20" t="n">
        <f aca="false">IF(B48=0,0,E48/B48)</f>
        <v>0.263157894736842</v>
      </c>
    </row>
    <row r="49" customFormat="false" ht="15" hidden="false" customHeight="false" outlineLevel="0" collapsed="false">
      <c r="A49" s="9" t="s">
        <v>36</v>
      </c>
      <c r="B49" s="9" t="n">
        <f aca="false">COUNTIFS('Open General Opps CFY'!$C$2:$C$142,$A49,'Open General Opps CFY'!$I$2:$I$142,$B$4)</f>
        <v>8</v>
      </c>
      <c r="C49" s="9" t="n">
        <f aca="false">COUNTIFS('Open General Opps CFY'!$C$2:$C$142,$A49,'Open General Opps CFY'!$I$2:$I$142,$B$4,'Open General Opps CFY'!$S$2:$S$142,1)</f>
        <v>0</v>
      </c>
      <c r="D49" s="20" t="n">
        <f aca="false">IF(B49=0,0,C49/B49)</f>
        <v>0</v>
      </c>
      <c r="E49" s="9" t="n">
        <f aca="false">COUNTIFS('Open General Opps CFY'!$C$2:$C$142,$A49,'Open General Opps CFY'!$I$2:$I$142,$B$4,'Open General Opps CFY'!$T$2:$T$142,1)</f>
        <v>0</v>
      </c>
      <c r="F49" s="20" t="n">
        <f aca="false">IF(B49=0,0,E49/B49)</f>
        <v>0</v>
      </c>
    </row>
    <row r="50" customFormat="false" ht="15" hidden="false" customHeight="false" outlineLevel="0" collapsed="false">
      <c r="A50" s="9" t="s">
        <v>37</v>
      </c>
      <c r="B50" s="9" t="n">
        <f aca="false">COUNTIFS('Open General Opps CFY'!$C$2:$C$142,$A50,'Open General Opps CFY'!$I$2:$I$142,$B$4)</f>
        <v>10</v>
      </c>
      <c r="C50" s="9" t="n">
        <f aca="false">COUNTIFS('Open General Opps CFY'!$C$2:$C$142,$A50,'Open General Opps CFY'!$I$2:$I$142,$B$4,'Open General Opps CFY'!$S$2:$S$142,1)</f>
        <v>10</v>
      </c>
      <c r="D50" s="20" t="n">
        <f aca="false">IF(B50=0,0,C50/B50)</f>
        <v>1</v>
      </c>
      <c r="E50" s="9" t="n">
        <f aca="false">COUNTIFS('Open General Opps CFY'!$C$2:$C$142,$A50,'Open General Opps CFY'!$I$2:$I$142,$B$4,'Open General Opps CFY'!$T$2:$T$142,1)</f>
        <v>3</v>
      </c>
      <c r="F50" s="20" t="n">
        <f aca="false">IF(B50=0,0,E50/B50)</f>
        <v>0.3</v>
      </c>
    </row>
    <row r="51" customFormat="false" ht="15" hidden="false" customHeight="false" outlineLevel="0" collapsed="false">
      <c r="A51" s="13" t="s">
        <v>38</v>
      </c>
      <c r="B51" s="13" t="n">
        <f aca="false">SUM(B44:B50)</f>
        <v>115</v>
      </c>
      <c r="C51" s="13" t="n">
        <f aca="false">SUM(C44:C50)</f>
        <v>42</v>
      </c>
      <c r="D51" s="21" t="n">
        <f aca="false">IF(B51=0,0,C51/B51)</f>
        <v>0.365217391304348</v>
      </c>
      <c r="E51" s="13" t="n">
        <f aca="false">SUM(E44:E50)</f>
        <v>20</v>
      </c>
      <c r="F51" s="21" t="n">
        <f aca="false">IF(B51=0,0,E51/B51)</f>
        <v>0.173913043478261</v>
      </c>
    </row>
    <row r="54" customFormat="false" ht="15" hidden="false" customHeight="false" outlineLevel="0" collapsed="false">
      <c r="A54" s="19" t="s">
        <v>64</v>
      </c>
    </row>
    <row r="55" customFormat="false" ht="30" hidden="false" customHeight="true" outlineLevel="0" collapsed="false">
      <c r="A55" s="8" t="s">
        <v>23</v>
      </c>
      <c r="B55" s="8" t="s">
        <v>47</v>
      </c>
      <c r="C55" s="8" t="s">
        <v>65</v>
      </c>
      <c r="D55" s="8" t="s">
        <v>66</v>
      </c>
    </row>
    <row r="56" customFormat="false" ht="15" hidden="false" customHeight="false" outlineLevel="0" collapsed="false">
      <c r="A56" s="9" t="s">
        <v>31</v>
      </c>
      <c r="B56" s="9" t="n">
        <f aca="false">COUNTIFS('Open General Opps CFY'!$C$2:$C$142,$A56,'Open General Opps CFY'!$I$2:$I$142,$B$4)</f>
        <v>21</v>
      </c>
      <c r="C56" s="9" t="n">
        <f aca="false">COUNTIFS('Open General Opps CFY'!$C$2:$C$142,$A56,'Open General Opps CFY'!$I$2:$I$142,$B$4,'Open General Opps CFY'!$U$2:$U$142,1)</f>
        <v>1</v>
      </c>
      <c r="D56" s="20" t="n">
        <f aca="false">IF(B56=0,0,C56/B56)</f>
        <v>0.0476190476190476</v>
      </c>
    </row>
    <row r="57" customFormat="false" ht="15" hidden="false" customHeight="false" outlineLevel="0" collapsed="false">
      <c r="A57" s="9" t="s">
        <v>32</v>
      </c>
      <c r="B57" s="9" t="n">
        <f aca="false">COUNTIFS('Open General Opps CFY'!$C$2:$C$142,$A57,'Open General Opps CFY'!$I$2:$I$142,$B$4)</f>
        <v>14</v>
      </c>
      <c r="C57" s="9" t="n">
        <f aca="false">COUNTIFS('Open General Opps CFY'!$C$2:$C$142,$A57,'Open General Opps CFY'!$I$2:$I$142,$B$4,'Open General Opps CFY'!$U$2:$U$142,1)</f>
        <v>1</v>
      </c>
      <c r="D57" s="20" t="n">
        <f aca="false">IF(B57=0,0,C57/B57)</f>
        <v>0.0714285714285714</v>
      </c>
    </row>
    <row r="58" customFormat="false" ht="15" hidden="false" customHeight="false" outlineLevel="0" collapsed="false">
      <c r="A58" s="9" t="s">
        <v>33</v>
      </c>
      <c r="B58" s="9" t="n">
        <f aca="false">COUNTIFS('Open General Opps CFY'!$C$2:$C$142,$A58,'Open General Opps CFY'!$I$2:$I$142,$B$4)</f>
        <v>32</v>
      </c>
      <c r="C58" s="9" t="n">
        <f aca="false">COUNTIFS('Open General Opps CFY'!$C$2:$C$142,$A58,'Open General Opps CFY'!$I$2:$I$142,$B$4,'Open General Opps CFY'!$U$2:$U$142,1)</f>
        <v>0</v>
      </c>
      <c r="D58" s="20" t="n">
        <f aca="false">IF(B58=0,0,C58/B58)</f>
        <v>0</v>
      </c>
    </row>
    <row r="59" customFormat="false" ht="15" hidden="false" customHeight="false" outlineLevel="0" collapsed="false">
      <c r="A59" s="9" t="s">
        <v>34</v>
      </c>
      <c r="B59" s="9" t="n">
        <f aca="false">COUNTIFS('Open General Opps CFY'!$C$2:$C$142,$A59,'Open General Opps CFY'!$I$2:$I$142,$B$4)</f>
        <v>11</v>
      </c>
      <c r="C59" s="9" t="n">
        <f aca="false">COUNTIFS('Open General Opps CFY'!$C$2:$C$142,$A59,'Open General Opps CFY'!$I$2:$I$142,$B$4,'Open General Opps CFY'!$U$2:$U$142,1)</f>
        <v>0</v>
      </c>
      <c r="D59" s="20" t="n">
        <f aca="false">IF(B59=0,0,C59/B59)</f>
        <v>0</v>
      </c>
    </row>
    <row r="60" customFormat="false" ht="15" hidden="false" customHeight="false" outlineLevel="0" collapsed="false">
      <c r="A60" s="9" t="s">
        <v>35</v>
      </c>
      <c r="B60" s="9" t="n">
        <f aca="false">COUNTIFS('Open General Opps CFY'!$C$2:$C$142,$A60,'Open General Opps CFY'!$I$2:$I$142,$B$4)</f>
        <v>19</v>
      </c>
      <c r="C60" s="9" t="n">
        <f aca="false">COUNTIFS('Open General Opps CFY'!$C$2:$C$142,$A60,'Open General Opps CFY'!$I$2:$I$142,$B$4,'Open General Opps CFY'!$U$2:$U$142,1)</f>
        <v>6</v>
      </c>
      <c r="D60" s="20" t="n">
        <f aca="false">IF(B60=0,0,C60/B60)</f>
        <v>0.315789473684211</v>
      </c>
    </row>
    <row r="61" customFormat="false" ht="15" hidden="false" customHeight="false" outlineLevel="0" collapsed="false">
      <c r="A61" s="9" t="s">
        <v>36</v>
      </c>
      <c r="B61" s="9" t="n">
        <f aca="false">COUNTIFS('Open General Opps CFY'!$C$2:$C$142,$A61,'Open General Opps CFY'!$I$2:$I$142,$B$4)</f>
        <v>8</v>
      </c>
      <c r="C61" s="9" t="n">
        <f aca="false">COUNTIFS('Open General Opps CFY'!$C$2:$C$142,$A61,'Open General Opps CFY'!$I$2:$I$142,$B$4,'Open General Opps CFY'!$U$2:$U$142,1)</f>
        <v>0</v>
      </c>
      <c r="D61" s="20" t="n">
        <f aca="false">IF(B61=0,0,C61/B61)</f>
        <v>0</v>
      </c>
    </row>
    <row r="62" customFormat="false" ht="15" hidden="false" customHeight="false" outlineLevel="0" collapsed="false">
      <c r="A62" s="9" t="s">
        <v>37</v>
      </c>
      <c r="B62" s="9" t="n">
        <f aca="false">COUNTIFS('Open General Opps CFY'!$C$2:$C$142,$A62,'Open General Opps CFY'!$I$2:$I$142,$B$4)</f>
        <v>10</v>
      </c>
      <c r="C62" s="9" t="n">
        <f aca="false">COUNTIFS('Open General Opps CFY'!$C$2:$C$142,$A62,'Open General Opps CFY'!$I$2:$I$142,$B$4,'Open General Opps CFY'!$U$2:$U$142,1)</f>
        <v>0</v>
      </c>
      <c r="D62" s="20" t="n">
        <f aca="false">IF(B62=0,0,C62/B62)</f>
        <v>0</v>
      </c>
    </row>
    <row r="63" customFormat="false" ht="15" hidden="false" customHeight="false" outlineLevel="0" collapsed="false">
      <c r="A63" s="13" t="s">
        <v>38</v>
      </c>
      <c r="B63" s="13" t="n">
        <f aca="false">SUM(B56:B62)</f>
        <v>115</v>
      </c>
      <c r="C63" s="13" t="n">
        <f aca="false">SUM(C56:C62)</f>
        <v>8</v>
      </c>
      <c r="D63" s="21" t="n">
        <f aca="false">IF(B63=0,0,C63/B63)</f>
        <v>0.0695652173913044</v>
      </c>
    </row>
  </sheetData>
  <dataValidations count="1">
    <dataValidation allowBlank="false" errorStyle="stop" operator="between" showDropDown="false" showErrorMessage="false" showInputMessage="false" sqref="B4" type="list">
      <formula1>'Lookup Data'!$D$4:$D$5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9"/>
  </cols>
  <sheetData>
    <row r="1" customFormat="false" ht="42" hidden="false" customHeight="true" outlineLevel="0" collapsed="false">
      <c r="A1" s="8" t="s">
        <v>67</v>
      </c>
      <c r="B1" s="8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74</v>
      </c>
      <c r="I1" s="8" t="s">
        <v>75</v>
      </c>
      <c r="J1" s="8" t="s">
        <v>76</v>
      </c>
      <c r="K1" s="8" t="s">
        <v>77</v>
      </c>
      <c r="L1" s="8" t="s">
        <v>78</v>
      </c>
      <c r="M1" s="8" t="s">
        <v>79</v>
      </c>
      <c r="N1" s="8" t="s">
        <v>80</v>
      </c>
      <c r="O1" s="8" t="s">
        <v>81</v>
      </c>
      <c r="P1" s="8" t="s">
        <v>48</v>
      </c>
      <c r="Q1" s="8" t="s">
        <v>82</v>
      </c>
      <c r="R1" s="8" t="s">
        <v>60</v>
      </c>
      <c r="S1" s="8" t="s">
        <v>83</v>
      </c>
      <c r="T1" s="8" t="s">
        <v>63</v>
      </c>
      <c r="U1" s="8" t="s">
        <v>65</v>
      </c>
    </row>
    <row r="2" customFormat="false" ht="15" hidden="false" customHeight="false" outlineLevel="0" collapsed="false">
      <c r="A2" s="22" t="s">
        <v>84</v>
      </c>
      <c r="B2" s="22" t="s">
        <v>85</v>
      </c>
      <c r="C2" s="22" t="str">
        <f aca="false">VLOOKUP(B2,'Lookup Data'!$A$4:$B$20,2,FALSE())</f>
        <v>EMEA N</v>
      </c>
      <c r="D2" s="22" t="s">
        <v>86</v>
      </c>
      <c r="E2" s="22" t="s">
        <v>87</v>
      </c>
      <c r="F2" s="22" t="s">
        <v>54</v>
      </c>
      <c r="G2" s="22" t="s">
        <v>88</v>
      </c>
      <c r="H2" s="23" t="n">
        <v>45897</v>
      </c>
      <c r="I2" s="22" t="s">
        <v>45</v>
      </c>
      <c r="J2" s="24" t="b">
        <f aca="false">FALSE()</f>
        <v>0</v>
      </c>
      <c r="K2" s="25" t="n">
        <v>4840</v>
      </c>
      <c r="L2" s="22" t="s">
        <v>89</v>
      </c>
      <c r="M2" s="22" t="s">
        <v>90</v>
      </c>
      <c r="N2" s="22" t="s">
        <v>91</v>
      </c>
      <c r="O2" s="22" t="s">
        <v>92</v>
      </c>
      <c r="P2" s="26" t="n">
        <f aca="false">IF(G2="-",1,0)</f>
        <v>1</v>
      </c>
      <c r="Q2" s="26" t="n">
        <f aca="false">IF(N(K2)=0,1,0)</f>
        <v>0</v>
      </c>
      <c r="R2" s="26" t="n">
        <f aca="false">IF(AND(J2=TRUE(),N(K2)=0),1,0)</f>
        <v>0</v>
      </c>
      <c r="S2" s="26" t="n">
        <f aca="false">IF(OR(ISBLANK(M2),ISBLANK(N2),ISBLANK(O2)),1,0)</f>
        <v>0</v>
      </c>
      <c r="T2" s="26" t="n">
        <f aca="false">IF(AND(S2=1,OR(ISBLANK(L2),L2="-")),1,0)</f>
        <v>0</v>
      </c>
      <c r="U2" s="26" t="n">
        <f aca="false">IF(H2&lt;ReportDate,1,0)</f>
        <v>0</v>
      </c>
    </row>
    <row r="3" customFormat="false" ht="15" hidden="false" customHeight="false" outlineLevel="0" collapsed="false">
      <c r="A3" s="22" t="s">
        <v>93</v>
      </c>
      <c r="B3" s="22" t="s">
        <v>85</v>
      </c>
      <c r="C3" s="22" t="str">
        <f aca="false">VLOOKUP(B3,'Lookup Data'!$A$4:$B$20,2,FALSE())</f>
        <v>EMEA N</v>
      </c>
      <c r="D3" s="22" t="s">
        <v>94</v>
      </c>
      <c r="E3" s="22" t="s">
        <v>87</v>
      </c>
      <c r="F3" s="22" t="s">
        <v>52</v>
      </c>
      <c r="G3" s="22" t="s">
        <v>95</v>
      </c>
      <c r="H3" s="23" t="n">
        <v>45927</v>
      </c>
      <c r="I3" s="22" t="s">
        <v>45</v>
      </c>
      <c r="J3" s="24" t="b">
        <f aca="false">FALSE()</f>
        <v>0</v>
      </c>
      <c r="K3" s="25" t="n">
        <v>1640</v>
      </c>
      <c r="L3" s="22" t="s">
        <v>96</v>
      </c>
      <c r="M3" s="22" t="s">
        <v>97</v>
      </c>
      <c r="N3" s="22" t="s">
        <v>91</v>
      </c>
      <c r="O3" s="22" t="s">
        <v>92</v>
      </c>
      <c r="P3" s="26" t="n">
        <f aca="false">IF(G3="-",1,0)</f>
        <v>0</v>
      </c>
      <c r="Q3" s="26" t="n">
        <f aca="false">IF(N(K3)=0,1,0)</f>
        <v>0</v>
      </c>
      <c r="R3" s="26" t="n">
        <f aca="false">IF(AND(J3=TRUE(),N(K3)=0),1,0)</f>
        <v>0</v>
      </c>
      <c r="S3" s="26" t="n">
        <f aca="false">IF(OR(ISBLANK(M3),ISBLANK(N3),ISBLANK(O3)),1,0)</f>
        <v>0</v>
      </c>
      <c r="T3" s="26" t="n">
        <f aca="false">IF(AND(S3=1,OR(ISBLANK(L3),L3="-")),1,0)</f>
        <v>0</v>
      </c>
      <c r="U3" s="26" t="n">
        <f aca="false">IF(H3&lt;ReportDate,1,0)</f>
        <v>0</v>
      </c>
    </row>
    <row r="4" customFormat="false" ht="15" hidden="false" customHeight="false" outlineLevel="0" collapsed="false">
      <c r="A4" s="22" t="s">
        <v>98</v>
      </c>
      <c r="B4" s="22" t="s">
        <v>99</v>
      </c>
      <c r="C4" s="22" t="str">
        <f aca="false">VLOOKUP(B4,'Lookup Data'!$A$4:$B$20,2,FALSE())</f>
        <v>NA</v>
      </c>
      <c r="D4" s="22" t="s">
        <v>100</v>
      </c>
      <c r="E4" s="22" t="s">
        <v>101</v>
      </c>
      <c r="F4" s="22" t="s">
        <v>51</v>
      </c>
      <c r="G4" s="22" t="s">
        <v>95</v>
      </c>
      <c r="H4" s="23" t="n">
        <v>45839</v>
      </c>
      <c r="I4" s="22" t="s">
        <v>102</v>
      </c>
      <c r="J4" s="24" t="b">
        <f aca="false">TRUE()</f>
        <v>1</v>
      </c>
      <c r="K4" s="25" t="n">
        <v>20390</v>
      </c>
      <c r="L4" s="22" t="s">
        <v>103</v>
      </c>
      <c r="M4" s="22" t="s">
        <v>104</v>
      </c>
      <c r="N4" s="22" t="s">
        <v>105</v>
      </c>
      <c r="O4" s="22" t="s">
        <v>106</v>
      </c>
      <c r="P4" s="26" t="n">
        <f aca="false">IF(G4="-",1,0)</f>
        <v>0</v>
      </c>
      <c r="Q4" s="26" t="n">
        <f aca="false">IF(N(K4)=0,1,0)</f>
        <v>0</v>
      </c>
      <c r="R4" s="26" t="n">
        <f aca="false">IF(AND(J4=TRUE(),N(K4)=0),1,0)</f>
        <v>0</v>
      </c>
      <c r="S4" s="26" t="n">
        <f aca="false">IF(OR(ISBLANK(M4),ISBLANK(N4),ISBLANK(O4)),1,0)</f>
        <v>0</v>
      </c>
      <c r="T4" s="26" t="n">
        <f aca="false">IF(AND(S4=1,OR(ISBLANK(L4),L4="-")),1,0)</f>
        <v>0</v>
      </c>
      <c r="U4" s="26" t="n">
        <f aca="false">IF(H4&lt;ReportDate,1,0)</f>
        <v>1</v>
      </c>
    </row>
    <row r="5" customFormat="false" ht="15" hidden="false" customHeight="false" outlineLevel="0" collapsed="false">
      <c r="A5" s="22" t="s">
        <v>107</v>
      </c>
      <c r="B5" s="22" t="s">
        <v>108</v>
      </c>
      <c r="C5" s="22" t="str">
        <f aca="false">VLOOKUP(B5,'Lookup Data'!$A$4:$B$20,2,FALSE())</f>
        <v>NA</v>
      </c>
      <c r="D5" s="22" t="s">
        <v>109</v>
      </c>
      <c r="E5" s="22" t="s">
        <v>110</v>
      </c>
      <c r="F5" s="22" t="s">
        <v>52</v>
      </c>
      <c r="G5" s="22" t="s">
        <v>95</v>
      </c>
      <c r="H5" s="23" t="n">
        <v>45863</v>
      </c>
      <c r="I5" s="22" t="s">
        <v>45</v>
      </c>
      <c r="J5" s="24" t="b">
        <f aca="false">TRUE()</f>
        <v>1</v>
      </c>
      <c r="K5" s="25" t="n">
        <v>7280</v>
      </c>
      <c r="L5" s="22" t="s">
        <v>111</v>
      </c>
      <c r="M5" s="22" t="s">
        <v>112</v>
      </c>
      <c r="N5" s="22" t="s">
        <v>113</v>
      </c>
      <c r="O5" s="22" t="s">
        <v>106</v>
      </c>
      <c r="P5" s="26" t="n">
        <f aca="false">IF(G5="-",1,0)</f>
        <v>0</v>
      </c>
      <c r="Q5" s="26" t="n">
        <f aca="false">IF(N(K5)=0,1,0)</f>
        <v>0</v>
      </c>
      <c r="R5" s="26" t="n">
        <f aca="false">IF(AND(J5=TRUE(),N(K5)=0),1,0)</f>
        <v>0</v>
      </c>
      <c r="S5" s="26" t="n">
        <f aca="false">IF(OR(ISBLANK(M5),ISBLANK(N5),ISBLANK(O5)),1,0)</f>
        <v>0</v>
      </c>
      <c r="T5" s="26" t="n">
        <f aca="false">IF(AND(S5=1,OR(ISBLANK(L5),L5="-")),1,0)</f>
        <v>0</v>
      </c>
      <c r="U5" s="26" t="n">
        <f aca="false">IF(H5&lt;ReportDate,1,0)</f>
        <v>0</v>
      </c>
    </row>
    <row r="6" customFormat="false" ht="15" hidden="false" customHeight="false" outlineLevel="0" collapsed="false">
      <c r="A6" s="22" t="s">
        <v>114</v>
      </c>
      <c r="B6" s="22" t="s">
        <v>115</v>
      </c>
      <c r="C6" s="22" t="str">
        <f aca="false">VLOOKUP(B6,'Lookup Data'!$A$4:$B$20,2,FALSE())</f>
        <v>EMEA N</v>
      </c>
      <c r="D6" s="22" t="s">
        <v>116</v>
      </c>
      <c r="E6" s="22" t="s">
        <v>117</v>
      </c>
      <c r="F6" s="22" t="s">
        <v>55</v>
      </c>
      <c r="G6" s="22" t="s">
        <v>95</v>
      </c>
      <c r="H6" s="23" t="n">
        <v>45913</v>
      </c>
      <c r="I6" s="22" t="s">
        <v>45</v>
      </c>
      <c r="J6" s="24" t="b">
        <f aca="false">FALSE()</f>
        <v>0</v>
      </c>
      <c r="K6" s="25" t="n">
        <v>6860</v>
      </c>
      <c r="L6" s="22" t="s">
        <v>118</v>
      </c>
      <c r="M6" s="22" t="s">
        <v>119</v>
      </c>
      <c r="N6" s="22" t="s">
        <v>113</v>
      </c>
      <c r="O6" s="22" t="s">
        <v>92</v>
      </c>
      <c r="P6" s="26" t="n">
        <f aca="false">IF(G6="-",1,0)</f>
        <v>0</v>
      </c>
      <c r="Q6" s="26" t="n">
        <f aca="false">IF(N(K6)=0,1,0)</f>
        <v>0</v>
      </c>
      <c r="R6" s="26" t="n">
        <f aca="false">IF(AND(J6=TRUE(),N(K6)=0),1,0)</f>
        <v>0</v>
      </c>
      <c r="S6" s="26" t="n">
        <f aca="false">IF(OR(ISBLANK(M6),ISBLANK(N6),ISBLANK(O6)),1,0)</f>
        <v>0</v>
      </c>
      <c r="T6" s="26" t="n">
        <f aca="false">IF(AND(S6=1,OR(ISBLANK(L6),L6="-")),1,0)</f>
        <v>0</v>
      </c>
      <c r="U6" s="26" t="n">
        <f aca="false">IF(H6&lt;ReportDate,1,0)</f>
        <v>0</v>
      </c>
    </row>
    <row r="7" customFormat="false" ht="15" hidden="false" customHeight="false" outlineLevel="0" collapsed="false">
      <c r="A7" s="22" t="s">
        <v>120</v>
      </c>
      <c r="B7" s="22" t="s">
        <v>108</v>
      </c>
      <c r="C7" s="22" t="str">
        <f aca="false">VLOOKUP(B7,'Lookup Data'!$A$4:$B$20,2,FALSE())</f>
        <v>NA</v>
      </c>
      <c r="D7" s="22" t="s">
        <v>121</v>
      </c>
      <c r="E7" s="22" t="s">
        <v>122</v>
      </c>
      <c r="F7" s="22" t="s">
        <v>51</v>
      </c>
      <c r="G7" s="22" t="s">
        <v>123</v>
      </c>
      <c r="H7" s="23" t="n">
        <v>45991</v>
      </c>
      <c r="I7" s="22" t="s">
        <v>102</v>
      </c>
      <c r="J7" s="24" t="b">
        <f aca="false">TRUE()</f>
        <v>1</v>
      </c>
      <c r="K7" s="25" t="n">
        <v>24720</v>
      </c>
      <c r="L7" s="22" t="s">
        <v>124</v>
      </c>
      <c r="M7" s="22"/>
      <c r="N7" s="22"/>
      <c r="O7" s="22" t="s">
        <v>106</v>
      </c>
      <c r="P7" s="26" t="n">
        <f aca="false">IF(G7="-",1,0)</f>
        <v>0</v>
      </c>
      <c r="Q7" s="26" t="n">
        <f aca="false">IF(N(K7)=0,1,0)</f>
        <v>0</v>
      </c>
      <c r="R7" s="26" t="n">
        <f aca="false">IF(AND(J7=TRUE(),N(K7)=0),1,0)</f>
        <v>0</v>
      </c>
      <c r="S7" s="26" t="n">
        <f aca="false">IF(OR(ISBLANK(M7),ISBLANK(N7),ISBLANK(O7)),1,0)</f>
        <v>1</v>
      </c>
      <c r="T7" s="26" t="n">
        <f aca="false">IF(AND(S7=1,OR(ISBLANK(L7),L7="-")),1,0)</f>
        <v>0</v>
      </c>
      <c r="U7" s="26" t="n">
        <f aca="false">IF(H7&lt;ReportDate,1,0)</f>
        <v>0</v>
      </c>
    </row>
    <row r="8" customFormat="false" ht="15" hidden="false" customHeight="false" outlineLevel="0" collapsed="false">
      <c r="A8" s="22" t="s">
        <v>125</v>
      </c>
      <c r="B8" s="22" t="s">
        <v>126</v>
      </c>
      <c r="C8" s="22" t="str">
        <f aca="false">VLOOKUP(B8,'Lookup Data'!$A$4:$B$20,2,FALSE())</f>
        <v>MEE</v>
      </c>
      <c r="D8" s="22" t="s">
        <v>127</v>
      </c>
      <c r="E8" s="22" t="s">
        <v>128</v>
      </c>
      <c r="F8" s="22" t="s">
        <v>51</v>
      </c>
      <c r="G8" s="22" t="s">
        <v>88</v>
      </c>
      <c r="H8" s="23" t="n">
        <v>45840</v>
      </c>
      <c r="I8" s="22" t="s">
        <v>102</v>
      </c>
      <c r="J8" s="24" t="b">
        <f aca="false">TRUE()</f>
        <v>1</v>
      </c>
      <c r="K8" s="25" t="n">
        <v>6710</v>
      </c>
      <c r="L8" s="22" t="s">
        <v>129</v>
      </c>
      <c r="M8" s="22" t="s">
        <v>130</v>
      </c>
      <c r="N8" s="22" t="s">
        <v>113</v>
      </c>
      <c r="O8" s="22" t="s">
        <v>131</v>
      </c>
      <c r="P8" s="26" t="n">
        <f aca="false">IF(G8="-",1,0)</f>
        <v>1</v>
      </c>
      <c r="Q8" s="26" t="n">
        <f aca="false">IF(N(K8)=0,1,0)</f>
        <v>0</v>
      </c>
      <c r="R8" s="26" t="n">
        <f aca="false">IF(AND(J8=TRUE(),N(K8)=0),1,0)</f>
        <v>0</v>
      </c>
      <c r="S8" s="26" t="n">
        <f aca="false">IF(OR(ISBLANK(M8),ISBLANK(N8),ISBLANK(O8)),1,0)</f>
        <v>0</v>
      </c>
      <c r="T8" s="26" t="n">
        <f aca="false">IF(AND(S8=1,OR(ISBLANK(L8),L8="-")),1,0)</f>
        <v>0</v>
      </c>
      <c r="U8" s="26" t="n">
        <f aca="false">IF(H8&lt;ReportDate,1,0)</f>
        <v>1</v>
      </c>
    </row>
    <row r="9" customFormat="false" ht="15" hidden="false" customHeight="false" outlineLevel="0" collapsed="false">
      <c r="A9" s="22" t="s">
        <v>132</v>
      </c>
      <c r="B9" s="22" t="s">
        <v>85</v>
      </c>
      <c r="C9" s="22" t="str">
        <f aca="false">VLOOKUP(B9,'Lookup Data'!$A$4:$B$20,2,FALSE())</f>
        <v>EMEA N</v>
      </c>
      <c r="D9" s="22" t="s">
        <v>133</v>
      </c>
      <c r="E9" s="22" t="s">
        <v>87</v>
      </c>
      <c r="F9" s="22" t="s">
        <v>51</v>
      </c>
      <c r="G9" s="22" t="s">
        <v>123</v>
      </c>
      <c r="H9" s="23" t="n">
        <v>45913</v>
      </c>
      <c r="I9" s="22" t="s">
        <v>45</v>
      </c>
      <c r="J9" s="24" t="b">
        <f aca="false">TRUE()</f>
        <v>1</v>
      </c>
      <c r="K9" s="25" t="n">
        <v>15070</v>
      </c>
      <c r="L9" s="22" t="s">
        <v>134</v>
      </c>
      <c r="M9" s="22" t="s">
        <v>135</v>
      </c>
      <c r="N9" s="22" t="s">
        <v>91</v>
      </c>
      <c r="O9" s="22" t="s">
        <v>92</v>
      </c>
      <c r="P9" s="26" t="n">
        <f aca="false">IF(G9="-",1,0)</f>
        <v>0</v>
      </c>
      <c r="Q9" s="26" t="n">
        <f aca="false">IF(N(K9)=0,1,0)</f>
        <v>0</v>
      </c>
      <c r="R9" s="26" t="n">
        <f aca="false">IF(AND(J9=TRUE(),N(K9)=0),1,0)</f>
        <v>0</v>
      </c>
      <c r="S9" s="26" t="n">
        <f aca="false">IF(OR(ISBLANK(M9),ISBLANK(N9),ISBLANK(O9)),1,0)</f>
        <v>0</v>
      </c>
      <c r="T9" s="26" t="n">
        <f aca="false">IF(AND(S9=1,OR(ISBLANK(L9),L9="-")),1,0)</f>
        <v>0</v>
      </c>
      <c r="U9" s="26" t="n">
        <f aca="false">IF(H9&lt;ReportDate,1,0)</f>
        <v>0</v>
      </c>
    </row>
    <row r="10" customFormat="false" ht="15" hidden="false" customHeight="false" outlineLevel="0" collapsed="false">
      <c r="A10" s="22" t="s">
        <v>136</v>
      </c>
      <c r="B10" s="22" t="s">
        <v>108</v>
      </c>
      <c r="C10" s="22" t="str">
        <f aca="false">VLOOKUP(B10,'Lookup Data'!$A$4:$B$20,2,FALSE())</f>
        <v>NA</v>
      </c>
      <c r="D10" s="22" t="s">
        <v>137</v>
      </c>
      <c r="E10" s="22" t="s">
        <v>101</v>
      </c>
      <c r="F10" s="22" t="s">
        <v>51</v>
      </c>
      <c r="G10" s="22" t="s">
        <v>123</v>
      </c>
      <c r="H10" s="23" t="n">
        <v>45883</v>
      </c>
      <c r="I10" s="22" t="s">
        <v>45</v>
      </c>
      <c r="J10" s="24" t="b">
        <f aca="false">FALSE()</f>
        <v>0</v>
      </c>
      <c r="K10" s="25" t="n">
        <v>5440</v>
      </c>
      <c r="L10" s="22" t="s">
        <v>138</v>
      </c>
      <c r="M10" s="22" t="s">
        <v>139</v>
      </c>
      <c r="N10" s="22" t="s">
        <v>91</v>
      </c>
      <c r="O10" s="22" t="s">
        <v>106</v>
      </c>
      <c r="P10" s="26" t="n">
        <f aca="false">IF(G10="-",1,0)</f>
        <v>0</v>
      </c>
      <c r="Q10" s="26" t="n">
        <f aca="false">IF(N(K10)=0,1,0)</f>
        <v>0</v>
      </c>
      <c r="R10" s="26" t="n">
        <f aca="false">IF(AND(J10=TRUE(),N(K10)=0),1,0)</f>
        <v>0</v>
      </c>
      <c r="S10" s="26" t="n">
        <f aca="false">IF(OR(ISBLANK(M10),ISBLANK(N10),ISBLANK(O10)),1,0)</f>
        <v>0</v>
      </c>
      <c r="T10" s="26" t="n">
        <f aca="false">IF(AND(S10=1,OR(ISBLANK(L10),L10="-")),1,0)</f>
        <v>0</v>
      </c>
      <c r="U10" s="26" t="n">
        <f aca="false">IF(H10&lt;ReportDate,1,0)</f>
        <v>0</v>
      </c>
    </row>
    <row r="11" customFormat="false" ht="15" hidden="false" customHeight="false" outlineLevel="0" collapsed="false">
      <c r="A11" s="22" t="s">
        <v>140</v>
      </c>
      <c r="B11" s="22" t="s">
        <v>141</v>
      </c>
      <c r="C11" s="22" t="str">
        <f aca="false">VLOOKUP(B11,'Lookup Data'!$A$4:$B$20,2,FALSE())</f>
        <v>LATAM</v>
      </c>
      <c r="D11" s="22" t="s">
        <v>142</v>
      </c>
      <c r="E11" s="22" t="s">
        <v>143</v>
      </c>
      <c r="F11" s="22" t="s">
        <v>54</v>
      </c>
      <c r="G11" s="22" t="s">
        <v>123</v>
      </c>
      <c r="H11" s="23" t="n">
        <v>45890</v>
      </c>
      <c r="I11" s="22" t="s">
        <v>45</v>
      </c>
      <c r="J11" s="24" t="b">
        <f aca="false">FALSE()</f>
        <v>0</v>
      </c>
      <c r="K11" s="25" t="n">
        <v>9680</v>
      </c>
      <c r="L11" s="22" t="s">
        <v>144</v>
      </c>
      <c r="M11" s="22"/>
      <c r="N11" s="22"/>
      <c r="O11" s="22" t="s">
        <v>145</v>
      </c>
      <c r="P11" s="26" t="n">
        <f aca="false">IF(G11="-",1,0)</f>
        <v>0</v>
      </c>
      <c r="Q11" s="26" t="n">
        <f aca="false">IF(N(K11)=0,1,0)</f>
        <v>0</v>
      </c>
      <c r="R11" s="26" t="n">
        <f aca="false">IF(AND(J11=TRUE(),N(K11)=0),1,0)</f>
        <v>0</v>
      </c>
      <c r="S11" s="26" t="n">
        <f aca="false">IF(OR(ISBLANK(M11),ISBLANK(N11),ISBLANK(O11)),1,0)</f>
        <v>1</v>
      </c>
      <c r="T11" s="26" t="n">
        <f aca="false">IF(AND(S11=1,OR(ISBLANK(L11),L11="-")),1,0)</f>
        <v>0</v>
      </c>
      <c r="U11" s="26" t="n">
        <f aca="false">IF(H11&lt;ReportDate,1,0)</f>
        <v>0</v>
      </c>
    </row>
    <row r="12" customFormat="false" ht="15" hidden="false" customHeight="false" outlineLevel="0" collapsed="false">
      <c r="A12" s="22" t="s">
        <v>146</v>
      </c>
      <c r="B12" s="22" t="s">
        <v>147</v>
      </c>
      <c r="C12" s="22" t="str">
        <f aca="false">VLOOKUP(B12,'Lookup Data'!$A$4:$B$20,2,FALSE())</f>
        <v>EMEA S</v>
      </c>
      <c r="D12" s="22" t="s">
        <v>148</v>
      </c>
      <c r="E12" s="22" t="s">
        <v>149</v>
      </c>
      <c r="F12" s="22" t="s">
        <v>51</v>
      </c>
      <c r="G12" s="22" t="s">
        <v>123</v>
      </c>
      <c r="H12" s="23" t="n">
        <v>45871</v>
      </c>
      <c r="I12" s="22" t="s">
        <v>45</v>
      </c>
      <c r="J12" s="24" t="b">
        <f aca="false">FALSE()</f>
        <v>0</v>
      </c>
      <c r="K12" s="25" t="n">
        <v>23850</v>
      </c>
      <c r="L12" s="22" t="s">
        <v>150</v>
      </c>
      <c r="M12" s="22" t="s">
        <v>151</v>
      </c>
      <c r="N12" s="22" t="s">
        <v>105</v>
      </c>
      <c r="O12" s="22" t="s">
        <v>152</v>
      </c>
      <c r="P12" s="26" t="n">
        <f aca="false">IF(G12="-",1,0)</f>
        <v>0</v>
      </c>
      <c r="Q12" s="26" t="n">
        <f aca="false">IF(N(K12)=0,1,0)</f>
        <v>0</v>
      </c>
      <c r="R12" s="26" t="n">
        <f aca="false">IF(AND(J12=TRUE(),N(K12)=0),1,0)</f>
        <v>0</v>
      </c>
      <c r="S12" s="26" t="n">
        <f aca="false">IF(OR(ISBLANK(M12),ISBLANK(N12),ISBLANK(O12)),1,0)</f>
        <v>0</v>
      </c>
      <c r="T12" s="26" t="n">
        <f aca="false">IF(AND(S12=1,OR(ISBLANK(L12),L12="-")),1,0)</f>
        <v>0</v>
      </c>
      <c r="U12" s="26" t="n">
        <f aca="false">IF(H12&lt;ReportDate,1,0)</f>
        <v>0</v>
      </c>
    </row>
    <row r="13" customFormat="false" ht="15" hidden="false" customHeight="false" outlineLevel="0" collapsed="false">
      <c r="A13" s="22" t="s">
        <v>153</v>
      </c>
      <c r="B13" s="22" t="s">
        <v>154</v>
      </c>
      <c r="C13" s="22" t="str">
        <f aca="false">VLOOKUP(B13,'Lookup Data'!$A$4:$B$20,2,FALSE())</f>
        <v>GCN</v>
      </c>
      <c r="D13" s="22" t="s">
        <v>155</v>
      </c>
      <c r="E13" s="22" t="s">
        <v>156</v>
      </c>
      <c r="F13" s="22" t="s">
        <v>53</v>
      </c>
      <c r="G13" s="22" t="s">
        <v>88</v>
      </c>
      <c r="H13" s="23" t="n">
        <v>45987</v>
      </c>
      <c r="I13" s="22" t="s">
        <v>102</v>
      </c>
      <c r="J13" s="24" t="b">
        <f aca="false">FALSE()</f>
        <v>0</v>
      </c>
      <c r="K13" s="25" t="n">
        <v>19560</v>
      </c>
      <c r="L13" s="22" t="s">
        <v>88</v>
      </c>
      <c r="M13" s="22"/>
      <c r="N13" s="22"/>
      <c r="O13" s="22" t="s">
        <v>157</v>
      </c>
      <c r="P13" s="26" t="n">
        <f aca="false">IF(G13="-",1,0)</f>
        <v>1</v>
      </c>
      <c r="Q13" s="26" t="n">
        <f aca="false">IF(N(K13)=0,1,0)</f>
        <v>0</v>
      </c>
      <c r="R13" s="26" t="n">
        <f aca="false">IF(AND(J13=TRUE(),N(K13)=0),1,0)</f>
        <v>0</v>
      </c>
      <c r="S13" s="26" t="n">
        <f aca="false">IF(OR(ISBLANK(M13),ISBLANK(N13),ISBLANK(O13)),1,0)</f>
        <v>1</v>
      </c>
      <c r="T13" s="26" t="n">
        <f aca="false">IF(AND(S13=1,OR(ISBLANK(L13),L13="-")),1,0)</f>
        <v>1</v>
      </c>
      <c r="U13" s="26" t="n">
        <f aca="false">IF(H13&lt;ReportDate,1,0)</f>
        <v>0</v>
      </c>
    </row>
    <row r="14" customFormat="false" ht="15" hidden="false" customHeight="false" outlineLevel="0" collapsed="false">
      <c r="A14" s="22" t="s">
        <v>158</v>
      </c>
      <c r="B14" s="22" t="s">
        <v>159</v>
      </c>
      <c r="C14" s="22" t="str">
        <f aca="false">VLOOKUP(B14,'Lookup Data'!$A$4:$B$20,2,FALSE())</f>
        <v>MEE</v>
      </c>
      <c r="D14" s="22" t="s">
        <v>160</v>
      </c>
      <c r="E14" s="22" t="s">
        <v>161</v>
      </c>
      <c r="F14" s="22" t="s">
        <v>51</v>
      </c>
      <c r="G14" s="22" t="s">
        <v>95</v>
      </c>
      <c r="H14" s="23" t="n">
        <v>45882</v>
      </c>
      <c r="I14" s="22" t="s">
        <v>45</v>
      </c>
      <c r="J14" s="24" t="b">
        <f aca="false">TRUE()</f>
        <v>1</v>
      </c>
      <c r="K14" s="25" t="n">
        <v>11020</v>
      </c>
      <c r="L14" s="22" t="s">
        <v>162</v>
      </c>
      <c r="M14" s="22"/>
      <c r="N14" s="22" t="s">
        <v>105</v>
      </c>
      <c r="O14" s="22" t="s">
        <v>131</v>
      </c>
      <c r="P14" s="26" t="n">
        <f aca="false">IF(G14="-",1,0)</f>
        <v>0</v>
      </c>
      <c r="Q14" s="26" t="n">
        <f aca="false">IF(N(K14)=0,1,0)</f>
        <v>0</v>
      </c>
      <c r="R14" s="26" t="n">
        <f aca="false">IF(AND(J14=TRUE(),N(K14)=0),1,0)</f>
        <v>0</v>
      </c>
      <c r="S14" s="26" t="n">
        <f aca="false">IF(OR(ISBLANK(M14),ISBLANK(N14),ISBLANK(O14)),1,0)</f>
        <v>1</v>
      </c>
      <c r="T14" s="26" t="n">
        <f aca="false">IF(AND(S14=1,OR(ISBLANK(L14),L14="-")),1,0)</f>
        <v>0</v>
      </c>
      <c r="U14" s="26" t="n">
        <f aca="false">IF(H14&lt;ReportDate,1,0)</f>
        <v>0</v>
      </c>
    </row>
    <row r="15" customFormat="false" ht="15" hidden="false" customHeight="false" outlineLevel="0" collapsed="false">
      <c r="A15" s="22" t="s">
        <v>163</v>
      </c>
      <c r="B15" s="22" t="s">
        <v>141</v>
      </c>
      <c r="C15" s="22" t="str">
        <f aca="false">VLOOKUP(B15,'Lookup Data'!$A$4:$B$20,2,FALSE())</f>
        <v>LATAM</v>
      </c>
      <c r="D15" s="22" t="s">
        <v>164</v>
      </c>
      <c r="E15" s="22" t="s">
        <v>143</v>
      </c>
      <c r="F15" s="22" t="s">
        <v>51</v>
      </c>
      <c r="G15" s="22" t="s">
        <v>88</v>
      </c>
      <c r="H15" s="23" t="n">
        <v>45876</v>
      </c>
      <c r="I15" s="22" t="s">
        <v>45</v>
      </c>
      <c r="J15" s="24" t="b">
        <f aca="false">TRUE()</f>
        <v>1</v>
      </c>
      <c r="K15" s="25" t="n">
        <v>4830</v>
      </c>
      <c r="L15" s="22" t="s">
        <v>165</v>
      </c>
      <c r="M15" s="22" t="s">
        <v>166</v>
      </c>
      <c r="N15" s="22" t="s">
        <v>113</v>
      </c>
      <c r="O15" s="22" t="s">
        <v>145</v>
      </c>
      <c r="P15" s="26" t="n">
        <f aca="false">IF(G15="-",1,0)</f>
        <v>1</v>
      </c>
      <c r="Q15" s="26" t="n">
        <f aca="false">IF(N(K15)=0,1,0)</f>
        <v>0</v>
      </c>
      <c r="R15" s="26" t="n">
        <f aca="false">IF(AND(J15=TRUE(),N(K15)=0),1,0)</f>
        <v>0</v>
      </c>
      <c r="S15" s="26" t="n">
        <f aca="false">IF(OR(ISBLANK(M15),ISBLANK(N15),ISBLANK(O15)),1,0)</f>
        <v>0</v>
      </c>
      <c r="T15" s="26" t="n">
        <f aca="false">IF(AND(S15=1,OR(ISBLANK(L15),L15="-")),1,0)</f>
        <v>0</v>
      </c>
      <c r="U15" s="26" t="n">
        <f aca="false">IF(H15&lt;ReportDate,1,0)</f>
        <v>0</v>
      </c>
    </row>
    <row r="16" customFormat="false" ht="15" hidden="false" customHeight="false" outlineLevel="0" collapsed="false">
      <c r="A16" s="22" t="s">
        <v>167</v>
      </c>
      <c r="B16" s="22" t="s">
        <v>85</v>
      </c>
      <c r="C16" s="22" t="str">
        <f aca="false">VLOOKUP(B16,'Lookup Data'!$A$4:$B$20,2,FALSE())</f>
        <v>EMEA N</v>
      </c>
      <c r="D16" s="22" t="s">
        <v>168</v>
      </c>
      <c r="E16" s="22" t="s">
        <v>169</v>
      </c>
      <c r="F16" s="22" t="s">
        <v>51</v>
      </c>
      <c r="G16" s="22" t="s">
        <v>95</v>
      </c>
      <c r="H16" s="23" t="n">
        <v>45908</v>
      </c>
      <c r="I16" s="22" t="s">
        <v>45</v>
      </c>
      <c r="J16" s="24" t="b">
        <f aca="false">FALSE()</f>
        <v>0</v>
      </c>
      <c r="K16" s="25" t="n">
        <v>13620</v>
      </c>
      <c r="L16" s="22" t="s">
        <v>170</v>
      </c>
      <c r="M16" s="22" t="s">
        <v>171</v>
      </c>
      <c r="N16" s="22" t="s">
        <v>172</v>
      </c>
      <c r="O16" s="22" t="s">
        <v>92</v>
      </c>
      <c r="P16" s="26" t="n">
        <f aca="false">IF(G16="-",1,0)</f>
        <v>0</v>
      </c>
      <c r="Q16" s="26" t="n">
        <f aca="false">IF(N(K16)=0,1,0)</f>
        <v>0</v>
      </c>
      <c r="R16" s="26" t="n">
        <f aca="false">IF(AND(J16=TRUE(),N(K16)=0),1,0)</f>
        <v>0</v>
      </c>
      <c r="S16" s="26" t="n">
        <f aca="false">IF(OR(ISBLANK(M16),ISBLANK(N16),ISBLANK(O16)),1,0)</f>
        <v>0</v>
      </c>
      <c r="T16" s="26" t="n">
        <f aca="false">IF(AND(S16=1,OR(ISBLANK(L16),L16="-")),1,0)</f>
        <v>0</v>
      </c>
      <c r="U16" s="26" t="n">
        <f aca="false">IF(H16&lt;ReportDate,1,0)</f>
        <v>0</v>
      </c>
    </row>
    <row r="17" customFormat="false" ht="15" hidden="false" customHeight="false" outlineLevel="0" collapsed="false">
      <c r="A17" s="22" t="s">
        <v>173</v>
      </c>
      <c r="B17" s="22" t="s">
        <v>159</v>
      </c>
      <c r="C17" s="22" t="str">
        <f aca="false">VLOOKUP(B17,'Lookup Data'!$A$4:$B$20,2,FALSE())</f>
        <v>MEE</v>
      </c>
      <c r="D17" s="22" t="s">
        <v>174</v>
      </c>
      <c r="E17" s="22" t="s">
        <v>128</v>
      </c>
      <c r="F17" s="22" t="s">
        <v>52</v>
      </c>
      <c r="G17" s="22" t="s">
        <v>95</v>
      </c>
      <c r="H17" s="23" t="n">
        <v>45918</v>
      </c>
      <c r="I17" s="22" t="s">
        <v>45</v>
      </c>
      <c r="J17" s="24" t="b">
        <f aca="false">FALSE()</f>
        <v>0</v>
      </c>
      <c r="K17" s="25" t="n">
        <v>9500</v>
      </c>
      <c r="L17" s="22" t="s">
        <v>175</v>
      </c>
      <c r="M17" s="22" t="s">
        <v>176</v>
      </c>
      <c r="N17" s="22" t="s">
        <v>113</v>
      </c>
      <c r="O17" s="22" t="s">
        <v>131</v>
      </c>
      <c r="P17" s="26" t="n">
        <f aca="false">IF(G17="-",1,0)</f>
        <v>0</v>
      </c>
      <c r="Q17" s="26" t="n">
        <f aca="false">IF(N(K17)=0,1,0)</f>
        <v>0</v>
      </c>
      <c r="R17" s="26" t="n">
        <f aca="false">IF(AND(J17=TRUE(),N(K17)=0),1,0)</f>
        <v>0</v>
      </c>
      <c r="S17" s="26" t="n">
        <f aca="false">IF(OR(ISBLANK(M17),ISBLANK(N17),ISBLANK(O17)),1,0)</f>
        <v>0</v>
      </c>
      <c r="T17" s="26" t="n">
        <f aca="false">IF(AND(S17=1,OR(ISBLANK(L17),L17="-")),1,0)</f>
        <v>0</v>
      </c>
      <c r="U17" s="26" t="n">
        <f aca="false">IF(H17&lt;ReportDate,1,0)</f>
        <v>0</v>
      </c>
    </row>
    <row r="18" customFormat="false" ht="15" hidden="false" customHeight="false" outlineLevel="0" collapsed="false">
      <c r="A18" s="22" t="s">
        <v>177</v>
      </c>
      <c r="B18" s="22" t="s">
        <v>178</v>
      </c>
      <c r="C18" s="22" t="str">
        <f aca="false">VLOOKUP(B18,'Lookup Data'!$A$4:$B$20,2,FALSE())</f>
        <v>MEE</v>
      </c>
      <c r="D18" s="22" t="s">
        <v>179</v>
      </c>
      <c r="E18" s="22" t="s">
        <v>161</v>
      </c>
      <c r="F18" s="22" t="s">
        <v>52</v>
      </c>
      <c r="G18" s="22" t="s">
        <v>88</v>
      </c>
      <c r="H18" s="23" t="n">
        <v>45975</v>
      </c>
      <c r="I18" s="22" t="s">
        <v>102</v>
      </c>
      <c r="J18" s="24" t="b">
        <f aca="false">TRUE()</f>
        <v>1</v>
      </c>
      <c r="K18" s="25" t="n">
        <v>18790</v>
      </c>
      <c r="L18" s="22" t="s">
        <v>180</v>
      </c>
      <c r="M18" s="22" t="s">
        <v>181</v>
      </c>
      <c r="N18" s="22" t="s">
        <v>172</v>
      </c>
      <c r="O18" s="22" t="s">
        <v>131</v>
      </c>
      <c r="P18" s="26" t="n">
        <f aca="false">IF(G18="-",1,0)</f>
        <v>1</v>
      </c>
      <c r="Q18" s="26" t="n">
        <f aca="false">IF(N(K18)=0,1,0)</f>
        <v>0</v>
      </c>
      <c r="R18" s="26" t="n">
        <f aca="false">IF(AND(J18=TRUE(),N(K18)=0),1,0)</f>
        <v>0</v>
      </c>
      <c r="S18" s="26" t="n">
        <f aca="false">IF(OR(ISBLANK(M18),ISBLANK(N18),ISBLANK(O18)),1,0)</f>
        <v>0</v>
      </c>
      <c r="T18" s="26" t="n">
        <f aca="false">IF(AND(S18=1,OR(ISBLANK(L18),L18="-")),1,0)</f>
        <v>0</v>
      </c>
      <c r="U18" s="26" t="n">
        <f aca="false">IF(H18&lt;ReportDate,1,0)</f>
        <v>0</v>
      </c>
    </row>
    <row r="19" customFormat="false" ht="15" hidden="false" customHeight="false" outlineLevel="0" collapsed="false">
      <c r="A19" s="22" t="s">
        <v>182</v>
      </c>
      <c r="B19" s="22" t="s">
        <v>141</v>
      </c>
      <c r="C19" s="22" t="str">
        <f aca="false">VLOOKUP(B19,'Lookup Data'!$A$4:$B$20,2,FALSE())</f>
        <v>LATAM</v>
      </c>
      <c r="D19" s="22" t="s">
        <v>183</v>
      </c>
      <c r="E19" s="22" t="s">
        <v>184</v>
      </c>
      <c r="F19" s="22" t="s">
        <v>51</v>
      </c>
      <c r="G19" s="22" t="s">
        <v>123</v>
      </c>
      <c r="H19" s="23" t="n">
        <v>45860</v>
      </c>
      <c r="I19" s="22" t="s">
        <v>45</v>
      </c>
      <c r="J19" s="24" t="b">
        <f aca="false">TRUE()</f>
        <v>1</v>
      </c>
      <c r="K19" s="25" t="n">
        <v>24220</v>
      </c>
      <c r="L19" s="22" t="s">
        <v>88</v>
      </c>
      <c r="M19" s="22"/>
      <c r="N19" s="22"/>
      <c r="O19" s="22" t="s">
        <v>145</v>
      </c>
      <c r="P19" s="26" t="n">
        <f aca="false">IF(G19="-",1,0)</f>
        <v>0</v>
      </c>
      <c r="Q19" s="26" t="n">
        <f aca="false">IF(N(K19)=0,1,0)</f>
        <v>0</v>
      </c>
      <c r="R19" s="26" t="n">
        <f aca="false">IF(AND(J19=TRUE(),N(K19)=0),1,0)</f>
        <v>0</v>
      </c>
      <c r="S19" s="26" t="n">
        <f aca="false">IF(OR(ISBLANK(M19),ISBLANK(N19),ISBLANK(O19)),1,0)</f>
        <v>1</v>
      </c>
      <c r="T19" s="26" t="n">
        <f aca="false">IF(AND(S19=1,OR(ISBLANK(L19),L19="-")),1,0)</f>
        <v>1</v>
      </c>
      <c r="U19" s="26" t="n">
        <f aca="false">IF(H19&lt;ReportDate,1,0)</f>
        <v>0</v>
      </c>
    </row>
    <row r="20" customFormat="false" ht="15" hidden="false" customHeight="false" outlineLevel="0" collapsed="false">
      <c r="A20" s="22" t="s">
        <v>185</v>
      </c>
      <c r="B20" s="22" t="s">
        <v>141</v>
      </c>
      <c r="C20" s="22" t="str">
        <f aca="false">VLOOKUP(B20,'Lookup Data'!$A$4:$B$20,2,FALSE())</f>
        <v>LATAM</v>
      </c>
      <c r="D20" s="22" t="s">
        <v>186</v>
      </c>
      <c r="E20" s="22" t="s">
        <v>184</v>
      </c>
      <c r="F20" s="22" t="s">
        <v>54</v>
      </c>
      <c r="G20" s="22" t="s">
        <v>88</v>
      </c>
      <c r="H20" s="23" t="n">
        <v>45890</v>
      </c>
      <c r="I20" s="22" t="s">
        <v>45</v>
      </c>
      <c r="J20" s="24" t="b">
        <f aca="false">TRUE()</f>
        <v>1</v>
      </c>
      <c r="K20" s="25" t="n">
        <v>11320</v>
      </c>
      <c r="L20" s="22" t="s">
        <v>187</v>
      </c>
      <c r="M20" s="22"/>
      <c r="N20" s="22"/>
      <c r="O20" s="22" t="s">
        <v>145</v>
      </c>
      <c r="P20" s="26" t="n">
        <f aca="false">IF(G20="-",1,0)</f>
        <v>1</v>
      </c>
      <c r="Q20" s="26" t="n">
        <f aca="false">IF(N(K20)=0,1,0)</f>
        <v>0</v>
      </c>
      <c r="R20" s="26" t="n">
        <f aca="false">IF(AND(J20=TRUE(),N(K20)=0),1,0)</f>
        <v>0</v>
      </c>
      <c r="S20" s="26" t="n">
        <f aca="false">IF(OR(ISBLANK(M20),ISBLANK(N20),ISBLANK(O20)),1,0)</f>
        <v>1</v>
      </c>
      <c r="T20" s="26" t="n">
        <f aca="false">IF(AND(S20=1,OR(ISBLANK(L20),L20="-")),1,0)</f>
        <v>0</v>
      </c>
      <c r="U20" s="26" t="n">
        <f aca="false">IF(H20&lt;ReportDate,1,0)</f>
        <v>0</v>
      </c>
    </row>
    <row r="21" customFormat="false" ht="15" hidden="false" customHeight="false" outlineLevel="0" collapsed="false">
      <c r="A21" s="22" t="s">
        <v>188</v>
      </c>
      <c r="B21" s="22" t="s">
        <v>154</v>
      </c>
      <c r="C21" s="22" t="str">
        <f aca="false">VLOOKUP(B21,'Lookup Data'!$A$4:$B$20,2,FALSE())</f>
        <v>GCN</v>
      </c>
      <c r="D21" s="22" t="s">
        <v>189</v>
      </c>
      <c r="E21" s="22" t="s">
        <v>190</v>
      </c>
      <c r="F21" s="22" t="s">
        <v>51</v>
      </c>
      <c r="G21" s="22" t="s">
        <v>123</v>
      </c>
      <c r="H21" s="23" t="n">
        <v>45851</v>
      </c>
      <c r="I21" s="22" t="s">
        <v>45</v>
      </c>
      <c r="J21" s="24" t="b">
        <f aca="false">FALSE()</f>
        <v>0</v>
      </c>
      <c r="K21" s="25" t="n">
        <v>11800</v>
      </c>
      <c r="L21" s="22" t="s">
        <v>191</v>
      </c>
      <c r="M21" s="22"/>
      <c r="N21" s="22" t="s">
        <v>172</v>
      </c>
      <c r="O21" s="22" t="s">
        <v>157</v>
      </c>
      <c r="P21" s="26" t="n">
        <f aca="false">IF(G21="-",1,0)</f>
        <v>0</v>
      </c>
      <c r="Q21" s="26" t="n">
        <f aca="false">IF(N(K21)=0,1,0)</f>
        <v>0</v>
      </c>
      <c r="R21" s="26" t="n">
        <f aca="false">IF(AND(J21=TRUE(),N(K21)=0),1,0)</f>
        <v>0</v>
      </c>
      <c r="S21" s="26" t="n">
        <f aca="false">IF(OR(ISBLANK(M21),ISBLANK(N21),ISBLANK(O21)),1,0)</f>
        <v>1</v>
      </c>
      <c r="T21" s="26" t="n">
        <f aca="false">IF(AND(S21=1,OR(ISBLANK(L21),L21="-")),1,0)</f>
        <v>0</v>
      </c>
      <c r="U21" s="26" t="n">
        <f aca="false">IF(H21&lt;ReportDate,1,0)</f>
        <v>0</v>
      </c>
    </row>
    <row r="22" customFormat="false" ht="15" hidden="false" customHeight="false" outlineLevel="0" collapsed="false">
      <c r="A22" s="22" t="s">
        <v>192</v>
      </c>
      <c r="B22" s="22" t="s">
        <v>99</v>
      </c>
      <c r="C22" s="22" t="str">
        <f aca="false">VLOOKUP(B22,'Lookup Data'!$A$4:$B$20,2,FALSE())</f>
        <v>NA</v>
      </c>
      <c r="D22" s="22" t="s">
        <v>193</v>
      </c>
      <c r="E22" s="22" t="s">
        <v>110</v>
      </c>
      <c r="F22" s="22" t="s">
        <v>53</v>
      </c>
      <c r="G22" s="22" t="s">
        <v>123</v>
      </c>
      <c r="H22" s="23" t="n">
        <v>45862</v>
      </c>
      <c r="I22" s="22" t="s">
        <v>45</v>
      </c>
      <c r="J22" s="24" t="b">
        <f aca="false">FALSE()</f>
        <v>0</v>
      </c>
      <c r="K22" s="25" t="n">
        <v>24250</v>
      </c>
      <c r="L22" s="22" t="s">
        <v>194</v>
      </c>
      <c r="M22" s="22" t="s">
        <v>195</v>
      </c>
      <c r="N22" s="22" t="s">
        <v>91</v>
      </c>
      <c r="O22" s="22" t="s">
        <v>106</v>
      </c>
      <c r="P22" s="26" t="n">
        <f aca="false">IF(G22="-",1,0)</f>
        <v>0</v>
      </c>
      <c r="Q22" s="26" t="n">
        <f aca="false">IF(N(K22)=0,1,0)</f>
        <v>0</v>
      </c>
      <c r="R22" s="26" t="n">
        <f aca="false">IF(AND(J22=TRUE(),N(K22)=0),1,0)</f>
        <v>0</v>
      </c>
      <c r="S22" s="26" t="n">
        <f aca="false">IF(OR(ISBLANK(M22),ISBLANK(N22),ISBLANK(O22)),1,0)</f>
        <v>0</v>
      </c>
      <c r="T22" s="26" t="n">
        <f aca="false">IF(AND(S22=1,OR(ISBLANK(L22),L22="-")),1,0)</f>
        <v>0</v>
      </c>
      <c r="U22" s="26" t="n">
        <f aca="false">IF(H22&lt;ReportDate,1,0)</f>
        <v>0</v>
      </c>
    </row>
    <row r="23" customFormat="false" ht="15" hidden="false" customHeight="false" outlineLevel="0" collapsed="false">
      <c r="A23" s="22" t="s">
        <v>196</v>
      </c>
      <c r="B23" s="22" t="s">
        <v>159</v>
      </c>
      <c r="C23" s="22" t="str">
        <f aca="false">VLOOKUP(B23,'Lookup Data'!$A$4:$B$20,2,FALSE())</f>
        <v>MEE</v>
      </c>
      <c r="D23" s="22" t="s">
        <v>197</v>
      </c>
      <c r="E23" s="22" t="s">
        <v>128</v>
      </c>
      <c r="F23" s="22" t="s">
        <v>54</v>
      </c>
      <c r="G23" s="22" t="s">
        <v>95</v>
      </c>
      <c r="H23" s="23" t="n">
        <v>45981</v>
      </c>
      <c r="I23" s="22" t="s">
        <v>102</v>
      </c>
      <c r="J23" s="24" t="b">
        <f aca="false">TRUE()</f>
        <v>1</v>
      </c>
      <c r="K23" s="25" t="n">
        <v>0</v>
      </c>
      <c r="L23" s="22" t="s">
        <v>198</v>
      </c>
      <c r="M23" s="22" t="s">
        <v>199</v>
      </c>
      <c r="N23" s="22" t="s">
        <v>105</v>
      </c>
      <c r="O23" s="22" t="s">
        <v>131</v>
      </c>
      <c r="P23" s="26" t="n">
        <f aca="false">IF(G23="-",1,0)</f>
        <v>0</v>
      </c>
      <c r="Q23" s="26" t="n">
        <f aca="false">IF(N(K23)=0,1,0)</f>
        <v>1</v>
      </c>
      <c r="R23" s="26" t="n">
        <f aca="false">IF(AND(J23=TRUE(),N(K23)=0),1,0)</f>
        <v>1</v>
      </c>
      <c r="S23" s="26" t="n">
        <f aca="false">IF(OR(ISBLANK(M23),ISBLANK(N23),ISBLANK(O23)),1,0)</f>
        <v>0</v>
      </c>
      <c r="T23" s="26" t="n">
        <f aca="false">IF(AND(S23=1,OR(ISBLANK(L23),L23="-")),1,0)</f>
        <v>0</v>
      </c>
      <c r="U23" s="26" t="n">
        <f aca="false">IF(H23&lt;ReportDate,1,0)</f>
        <v>0</v>
      </c>
    </row>
    <row r="24" customFormat="false" ht="15" hidden="false" customHeight="false" outlineLevel="0" collapsed="false">
      <c r="A24" s="22" t="s">
        <v>200</v>
      </c>
      <c r="B24" s="22" t="s">
        <v>115</v>
      </c>
      <c r="C24" s="22" t="str">
        <f aca="false">VLOOKUP(B24,'Lookup Data'!$A$4:$B$20,2,FALSE())</f>
        <v>EMEA N</v>
      </c>
      <c r="D24" s="22" t="s">
        <v>201</v>
      </c>
      <c r="E24" s="22" t="s">
        <v>87</v>
      </c>
      <c r="F24" s="22" t="s">
        <v>51</v>
      </c>
      <c r="G24" s="22" t="s">
        <v>123</v>
      </c>
      <c r="H24" s="23" t="n">
        <v>45920</v>
      </c>
      <c r="I24" s="22" t="s">
        <v>45</v>
      </c>
      <c r="J24" s="24" t="b">
        <f aca="false">FALSE()</f>
        <v>0</v>
      </c>
      <c r="K24" s="25" t="n">
        <v>0</v>
      </c>
      <c r="L24" s="22" t="s">
        <v>202</v>
      </c>
      <c r="M24" s="22" t="s">
        <v>203</v>
      </c>
      <c r="N24" s="22" t="s">
        <v>113</v>
      </c>
      <c r="O24" s="22" t="s">
        <v>92</v>
      </c>
      <c r="P24" s="26" t="n">
        <f aca="false">IF(G24="-",1,0)</f>
        <v>0</v>
      </c>
      <c r="Q24" s="26" t="n">
        <f aca="false">IF(N(K24)=0,1,0)</f>
        <v>1</v>
      </c>
      <c r="R24" s="26" t="n">
        <f aca="false">IF(AND(J24=TRUE(),N(K24)=0),1,0)</f>
        <v>0</v>
      </c>
      <c r="S24" s="26" t="n">
        <f aca="false">IF(OR(ISBLANK(M24),ISBLANK(N24),ISBLANK(O24)),1,0)</f>
        <v>0</v>
      </c>
      <c r="T24" s="26" t="n">
        <f aca="false">IF(AND(S24=1,OR(ISBLANK(L24),L24="-")),1,0)</f>
        <v>0</v>
      </c>
      <c r="U24" s="26" t="n">
        <f aca="false">IF(H24&lt;ReportDate,1,0)</f>
        <v>0</v>
      </c>
    </row>
    <row r="25" customFormat="false" ht="15" hidden="false" customHeight="false" outlineLevel="0" collapsed="false">
      <c r="A25" s="22" t="s">
        <v>204</v>
      </c>
      <c r="B25" s="22" t="s">
        <v>108</v>
      </c>
      <c r="C25" s="22" t="str">
        <f aca="false">VLOOKUP(B25,'Lookup Data'!$A$4:$B$20,2,FALSE())</f>
        <v>NA</v>
      </c>
      <c r="D25" s="22" t="s">
        <v>205</v>
      </c>
      <c r="E25" s="22" t="s">
        <v>122</v>
      </c>
      <c r="F25" s="22" t="s">
        <v>52</v>
      </c>
      <c r="G25" s="22" t="s">
        <v>123</v>
      </c>
      <c r="H25" s="23" t="n">
        <v>45882</v>
      </c>
      <c r="I25" s="22" t="s">
        <v>45</v>
      </c>
      <c r="J25" s="24" t="b">
        <f aca="false">FALSE()</f>
        <v>0</v>
      </c>
      <c r="K25" s="25" t="n">
        <v>810</v>
      </c>
      <c r="L25" s="22" t="s">
        <v>206</v>
      </c>
      <c r="M25" s="22" t="s">
        <v>130</v>
      </c>
      <c r="N25" s="22" t="s">
        <v>113</v>
      </c>
      <c r="O25" s="22" t="s">
        <v>106</v>
      </c>
      <c r="P25" s="26" t="n">
        <f aca="false">IF(G25="-",1,0)</f>
        <v>0</v>
      </c>
      <c r="Q25" s="26" t="n">
        <f aca="false">IF(N(K25)=0,1,0)</f>
        <v>0</v>
      </c>
      <c r="R25" s="26" t="n">
        <f aca="false">IF(AND(J25=TRUE(),N(K25)=0),1,0)</f>
        <v>0</v>
      </c>
      <c r="S25" s="26" t="n">
        <f aca="false">IF(OR(ISBLANK(M25),ISBLANK(N25),ISBLANK(O25)),1,0)</f>
        <v>0</v>
      </c>
      <c r="T25" s="26" t="n">
        <f aca="false">IF(AND(S25=1,OR(ISBLANK(L25),L25="-")),1,0)</f>
        <v>0</v>
      </c>
      <c r="U25" s="26" t="n">
        <f aca="false">IF(H25&lt;ReportDate,1,0)</f>
        <v>0</v>
      </c>
    </row>
    <row r="26" customFormat="false" ht="15" hidden="false" customHeight="false" outlineLevel="0" collapsed="false">
      <c r="A26" s="22" t="s">
        <v>207</v>
      </c>
      <c r="B26" s="22" t="s">
        <v>208</v>
      </c>
      <c r="C26" s="22" t="str">
        <f aca="false">VLOOKUP(B26,'Lookup Data'!$A$4:$B$20,2,FALSE())</f>
        <v>APJ</v>
      </c>
      <c r="D26" s="22" t="s">
        <v>100</v>
      </c>
      <c r="E26" s="22" t="s">
        <v>209</v>
      </c>
      <c r="F26" s="22" t="s">
        <v>54</v>
      </c>
      <c r="G26" s="22" t="s">
        <v>95</v>
      </c>
      <c r="H26" s="23" t="n">
        <v>45890</v>
      </c>
      <c r="I26" s="22" t="s">
        <v>45</v>
      </c>
      <c r="J26" s="24" t="b">
        <f aca="false">TRUE()</f>
        <v>1</v>
      </c>
      <c r="K26" s="25" t="n">
        <v>16300</v>
      </c>
      <c r="L26" s="22" t="s">
        <v>210</v>
      </c>
      <c r="M26" s="22" t="s">
        <v>211</v>
      </c>
      <c r="N26" s="22" t="s">
        <v>113</v>
      </c>
      <c r="O26" s="22" t="s">
        <v>212</v>
      </c>
      <c r="P26" s="26" t="n">
        <f aca="false">IF(G26="-",1,0)</f>
        <v>0</v>
      </c>
      <c r="Q26" s="26" t="n">
        <f aca="false">IF(N(K26)=0,1,0)</f>
        <v>0</v>
      </c>
      <c r="R26" s="26" t="n">
        <f aca="false">IF(AND(J26=TRUE(),N(K26)=0),1,0)</f>
        <v>0</v>
      </c>
      <c r="S26" s="26" t="n">
        <f aca="false">IF(OR(ISBLANK(M26),ISBLANK(N26),ISBLANK(O26)),1,0)</f>
        <v>0</v>
      </c>
      <c r="T26" s="26" t="n">
        <f aca="false">IF(AND(S26=1,OR(ISBLANK(L26),L26="-")),1,0)</f>
        <v>0</v>
      </c>
      <c r="U26" s="26" t="n">
        <f aca="false">IF(H26&lt;ReportDate,1,0)</f>
        <v>0</v>
      </c>
    </row>
    <row r="27" customFormat="false" ht="15" hidden="false" customHeight="false" outlineLevel="0" collapsed="false">
      <c r="A27" s="22" t="s">
        <v>213</v>
      </c>
      <c r="B27" s="22" t="s">
        <v>141</v>
      </c>
      <c r="C27" s="22" t="str">
        <f aca="false">VLOOKUP(B27,'Lookup Data'!$A$4:$B$20,2,FALSE())</f>
        <v>LATAM</v>
      </c>
      <c r="D27" s="22" t="s">
        <v>214</v>
      </c>
      <c r="E27" s="22" t="s">
        <v>215</v>
      </c>
      <c r="F27" s="22" t="s">
        <v>55</v>
      </c>
      <c r="G27" s="22" t="s">
        <v>123</v>
      </c>
      <c r="H27" s="23" t="n">
        <v>45841</v>
      </c>
      <c r="I27" s="22" t="s">
        <v>45</v>
      </c>
      <c r="J27" s="24" t="b">
        <f aca="false">TRUE()</f>
        <v>1</v>
      </c>
      <c r="K27" s="25" t="n">
        <v>5670</v>
      </c>
      <c r="L27" s="22" t="s">
        <v>88</v>
      </c>
      <c r="M27" s="22"/>
      <c r="N27" s="22"/>
      <c r="O27" s="22" t="s">
        <v>145</v>
      </c>
      <c r="P27" s="26" t="n">
        <f aca="false">IF(G27="-",1,0)</f>
        <v>0</v>
      </c>
      <c r="Q27" s="26" t="n">
        <f aca="false">IF(N(K27)=0,1,0)</f>
        <v>0</v>
      </c>
      <c r="R27" s="26" t="n">
        <f aca="false">IF(AND(J27=TRUE(),N(K27)=0),1,0)</f>
        <v>0</v>
      </c>
      <c r="S27" s="26" t="n">
        <f aca="false">IF(OR(ISBLANK(M27),ISBLANK(N27),ISBLANK(O27)),1,0)</f>
        <v>1</v>
      </c>
      <c r="T27" s="26" t="n">
        <f aca="false">IF(AND(S27=1,OR(ISBLANK(L27),L27="-")),1,0)</f>
        <v>1</v>
      </c>
      <c r="U27" s="26" t="n">
        <f aca="false">IF(H27&lt;ReportDate,1,0)</f>
        <v>1</v>
      </c>
    </row>
    <row r="28" customFormat="false" ht="15" hidden="false" customHeight="false" outlineLevel="0" collapsed="false">
      <c r="A28" s="22" t="s">
        <v>216</v>
      </c>
      <c r="B28" s="22" t="s">
        <v>115</v>
      </c>
      <c r="C28" s="22" t="str">
        <f aca="false">VLOOKUP(B28,'Lookup Data'!$A$4:$B$20,2,FALSE())</f>
        <v>EMEA N</v>
      </c>
      <c r="D28" s="22" t="s">
        <v>217</v>
      </c>
      <c r="E28" s="22" t="s">
        <v>87</v>
      </c>
      <c r="F28" s="22" t="s">
        <v>51</v>
      </c>
      <c r="G28" s="22" t="s">
        <v>123</v>
      </c>
      <c r="H28" s="23" t="n">
        <v>45924</v>
      </c>
      <c r="I28" s="22" t="s">
        <v>45</v>
      </c>
      <c r="J28" s="24" t="b">
        <f aca="false">TRUE()</f>
        <v>1</v>
      </c>
      <c r="K28" s="25" t="n">
        <v>18760</v>
      </c>
      <c r="L28" s="22" t="s">
        <v>218</v>
      </c>
      <c r="M28" s="22" t="s">
        <v>219</v>
      </c>
      <c r="N28" s="22" t="s">
        <v>113</v>
      </c>
      <c r="O28" s="22" t="s">
        <v>92</v>
      </c>
      <c r="P28" s="26" t="n">
        <f aca="false">IF(G28="-",1,0)</f>
        <v>0</v>
      </c>
      <c r="Q28" s="26" t="n">
        <f aca="false">IF(N(K28)=0,1,0)</f>
        <v>0</v>
      </c>
      <c r="R28" s="26" t="n">
        <f aca="false">IF(AND(J28=TRUE(),N(K28)=0),1,0)</f>
        <v>0</v>
      </c>
      <c r="S28" s="26" t="n">
        <f aca="false">IF(OR(ISBLANK(M28),ISBLANK(N28),ISBLANK(O28)),1,0)</f>
        <v>0</v>
      </c>
      <c r="T28" s="26" t="n">
        <f aca="false">IF(AND(S28=1,OR(ISBLANK(L28),L28="-")),1,0)</f>
        <v>0</v>
      </c>
      <c r="U28" s="26" t="n">
        <f aca="false">IF(H28&lt;ReportDate,1,0)</f>
        <v>0</v>
      </c>
    </row>
    <row r="29" customFormat="false" ht="15" hidden="false" customHeight="false" outlineLevel="0" collapsed="false">
      <c r="A29" s="22" t="s">
        <v>220</v>
      </c>
      <c r="B29" s="22" t="s">
        <v>221</v>
      </c>
      <c r="C29" s="22" t="str">
        <f aca="false">VLOOKUP(B29,'Lookup Data'!$A$4:$B$20,2,FALSE())</f>
        <v>EMEA S</v>
      </c>
      <c r="D29" s="22" t="s">
        <v>222</v>
      </c>
      <c r="E29" s="22" t="s">
        <v>117</v>
      </c>
      <c r="F29" s="22" t="s">
        <v>52</v>
      </c>
      <c r="G29" s="22" t="s">
        <v>88</v>
      </c>
      <c r="H29" s="23" t="n">
        <v>45960</v>
      </c>
      <c r="I29" s="22" t="s">
        <v>102</v>
      </c>
      <c r="J29" s="24" t="b">
        <f aca="false">TRUE()</f>
        <v>1</v>
      </c>
      <c r="K29" s="25" t="n">
        <v>14880</v>
      </c>
      <c r="L29" s="22" t="s">
        <v>223</v>
      </c>
      <c r="M29" s="22" t="s">
        <v>224</v>
      </c>
      <c r="N29" s="22" t="s">
        <v>91</v>
      </c>
      <c r="O29" s="22" t="s">
        <v>152</v>
      </c>
      <c r="P29" s="26" t="n">
        <f aca="false">IF(G29="-",1,0)</f>
        <v>1</v>
      </c>
      <c r="Q29" s="26" t="n">
        <f aca="false">IF(N(K29)=0,1,0)</f>
        <v>0</v>
      </c>
      <c r="R29" s="26" t="n">
        <f aca="false">IF(AND(J29=TRUE(),N(K29)=0),1,0)</f>
        <v>0</v>
      </c>
      <c r="S29" s="26" t="n">
        <f aca="false">IF(OR(ISBLANK(M29),ISBLANK(N29),ISBLANK(O29)),1,0)</f>
        <v>0</v>
      </c>
      <c r="T29" s="26" t="n">
        <f aca="false">IF(AND(S29=1,OR(ISBLANK(L29),L29="-")),1,0)</f>
        <v>0</v>
      </c>
      <c r="U29" s="26" t="n">
        <f aca="false">IF(H29&lt;ReportDate,1,0)</f>
        <v>0</v>
      </c>
    </row>
    <row r="30" customFormat="false" ht="15" hidden="false" customHeight="false" outlineLevel="0" collapsed="false">
      <c r="A30" s="22" t="s">
        <v>225</v>
      </c>
      <c r="B30" s="22" t="s">
        <v>141</v>
      </c>
      <c r="C30" s="22" t="str">
        <f aca="false">VLOOKUP(B30,'Lookup Data'!$A$4:$B$20,2,FALSE())</f>
        <v>LATAM</v>
      </c>
      <c r="D30" s="22" t="s">
        <v>226</v>
      </c>
      <c r="E30" s="22" t="s">
        <v>143</v>
      </c>
      <c r="F30" s="22" t="s">
        <v>54</v>
      </c>
      <c r="G30" s="22" t="s">
        <v>123</v>
      </c>
      <c r="H30" s="23" t="n">
        <v>45907</v>
      </c>
      <c r="I30" s="22" t="s">
        <v>45</v>
      </c>
      <c r="J30" s="24" t="b">
        <f aca="false">TRUE()</f>
        <v>1</v>
      </c>
      <c r="K30" s="25" t="n">
        <v>5060</v>
      </c>
      <c r="L30" s="22" t="s">
        <v>227</v>
      </c>
      <c r="M30" s="22"/>
      <c r="N30" s="22" t="s">
        <v>113</v>
      </c>
      <c r="O30" s="22" t="s">
        <v>145</v>
      </c>
      <c r="P30" s="26" t="n">
        <f aca="false">IF(G30="-",1,0)</f>
        <v>0</v>
      </c>
      <c r="Q30" s="26" t="n">
        <f aca="false">IF(N(K30)=0,1,0)</f>
        <v>0</v>
      </c>
      <c r="R30" s="26" t="n">
        <f aca="false">IF(AND(J30=TRUE(),N(K30)=0),1,0)</f>
        <v>0</v>
      </c>
      <c r="S30" s="26" t="n">
        <f aca="false">IF(OR(ISBLANK(M30),ISBLANK(N30),ISBLANK(O30)),1,0)</f>
        <v>1</v>
      </c>
      <c r="T30" s="26" t="n">
        <f aca="false">IF(AND(S30=1,OR(ISBLANK(L30),L30="-")),1,0)</f>
        <v>0</v>
      </c>
      <c r="U30" s="26" t="n">
        <f aca="false">IF(H30&lt;ReportDate,1,0)</f>
        <v>0</v>
      </c>
    </row>
    <row r="31" customFormat="false" ht="15" hidden="false" customHeight="false" outlineLevel="0" collapsed="false">
      <c r="A31" s="22" t="s">
        <v>228</v>
      </c>
      <c r="B31" s="22" t="s">
        <v>141</v>
      </c>
      <c r="C31" s="22" t="str">
        <f aca="false">VLOOKUP(B31,'Lookup Data'!$A$4:$B$20,2,FALSE())</f>
        <v>LATAM</v>
      </c>
      <c r="D31" s="22" t="s">
        <v>229</v>
      </c>
      <c r="E31" s="22" t="s">
        <v>230</v>
      </c>
      <c r="F31" s="22" t="s">
        <v>53</v>
      </c>
      <c r="G31" s="22" t="s">
        <v>88</v>
      </c>
      <c r="H31" s="23" t="n">
        <v>45859</v>
      </c>
      <c r="I31" s="22" t="s">
        <v>45</v>
      </c>
      <c r="J31" s="24" t="b">
        <f aca="false">FALSE()</f>
        <v>0</v>
      </c>
      <c r="K31" s="25" t="n">
        <v>17510</v>
      </c>
      <c r="L31" s="22" t="s">
        <v>231</v>
      </c>
      <c r="M31" s="22"/>
      <c r="N31" s="22"/>
      <c r="O31" s="22" t="s">
        <v>145</v>
      </c>
      <c r="P31" s="26" t="n">
        <f aca="false">IF(G31="-",1,0)</f>
        <v>1</v>
      </c>
      <c r="Q31" s="26" t="n">
        <f aca="false">IF(N(K31)=0,1,0)</f>
        <v>0</v>
      </c>
      <c r="R31" s="26" t="n">
        <f aca="false">IF(AND(J31=TRUE(),N(K31)=0),1,0)</f>
        <v>0</v>
      </c>
      <c r="S31" s="26" t="n">
        <f aca="false">IF(OR(ISBLANK(M31),ISBLANK(N31),ISBLANK(O31)),1,0)</f>
        <v>1</v>
      </c>
      <c r="T31" s="26" t="n">
        <f aca="false">IF(AND(S31=1,OR(ISBLANK(L31),L31="-")),1,0)</f>
        <v>0</v>
      </c>
      <c r="U31" s="26" t="n">
        <f aca="false">IF(H31&lt;ReportDate,1,0)</f>
        <v>0</v>
      </c>
    </row>
    <row r="32" customFormat="false" ht="15" hidden="false" customHeight="false" outlineLevel="0" collapsed="false">
      <c r="A32" s="22" t="s">
        <v>232</v>
      </c>
      <c r="B32" s="22" t="s">
        <v>159</v>
      </c>
      <c r="C32" s="22" t="str">
        <f aca="false">VLOOKUP(B32,'Lookup Data'!$A$4:$B$20,2,FALSE())</f>
        <v>MEE</v>
      </c>
      <c r="D32" s="22" t="s">
        <v>233</v>
      </c>
      <c r="E32" s="22" t="s">
        <v>234</v>
      </c>
      <c r="F32" s="22" t="s">
        <v>53</v>
      </c>
      <c r="G32" s="22" t="s">
        <v>95</v>
      </c>
      <c r="H32" s="23" t="n">
        <v>45842</v>
      </c>
      <c r="I32" s="22" t="s">
        <v>102</v>
      </c>
      <c r="J32" s="24" t="b">
        <f aca="false">FALSE()</f>
        <v>0</v>
      </c>
      <c r="K32" s="25" t="n">
        <v>12100</v>
      </c>
      <c r="L32" s="22" t="s">
        <v>235</v>
      </c>
      <c r="M32" s="22"/>
      <c r="N32" s="22" t="s">
        <v>91</v>
      </c>
      <c r="O32" s="22" t="s">
        <v>131</v>
      </c>
      <c r="P32" s="26" t="n">
        <f aca="false">IF(G32="-",1,0)</f>
        <v>0</v>
      </c>
      <c r="Q32" s="26" t="n">
        <f aca="false">IF(N(K32)=0,1,0)</f>
        <v>0</v>
      </c>
      <c r="R32" s="26" t="n">
        <f aca="false">IF(AND(J32=TRUE(),N(K32)=0),1,0)</f>
        <v>0</v>
      </c>
      <c r="S32" s="26" t="n">
        <f aca="false">IF(OR(ISBLANK(M32),ISBLANK(N32),ISBLANK(O32)),1,0)</f>
        <v>1</v>
      </c>
      <c r="T32" s="26" t="n">
        <f aca="false">IF(AND(S32=1,OR(ISBLANK(L32),L32="-")),1,0)</f>
        <v>0</v>
      </c>
      <c r="U32" s="26" t="n">
        <f aca="false">IF(H32&lt;ReportDate,1,0)</f>
        <v>1</v>
      </c>
    </row>
    <row r="33" customFormat="false" ht="15" hidden="false" customHeight="false" outlineLevel="0" collapsed="false">
      <c r="A33" s="22" t="s">
        <v>236</v>
      </c>
      <c r="B33" s="22" t="s">
        <v>154</v>
      </c>
      <c r="C33" s="22" t="str">
        <f aca="false">VLOOKUP(B33,'Lookup Data'!$A$4:$B$20,2,FALSE())</f>
        <v>GCN</v>
      </c>
      <c r="D33" s="22" t="s">
        <v>237</v>
      </c>
      <c r="E33" s="22" t="s">
        <v>238</v>
      </c>
      <c r="F33" s="22" t="s">
        <v>51</v>
      </c>
      <c r="G33" s="22" t="s">
        <v>123</v>
      </c>
      <c r="H33" s="23" t="n">
        <v>45918</v>
      </c>
      <c r="I33" s="22" t="s">
        <v>45</v>
      </c>
      <c r="J33" s="24" t="b">
        <f aca="false">TRUE()</f>
        <v>1</v>
      </c>
      <c r="K33" s="25" t="n">
        <v>0</v>
      </c>
      <c r="L33" s="22" t="s">
        <v>239</v>
      </c>
      <c r="M33" s="22"/>
      <c r="N33" s="22"/>
      <c r="O33" s="22" t="s">
        <v>157</v>
      </c>
      <c r="P33" s="26" t="n">
        <f aca="false">IF(G33="-",1,0)</f>
        <v>0</v>
      </c>
      <c r="Q33" s="26" t="n">
        <f aca="false">IF(N(K33)=0,1,0)</f>
        <v>1</v>
      </c>
      <c r="R33" s="26" t="n">
        <f aca="false">IF(AND(J33=TRUE(),N(K33)=0),1,0)</f>
        <v>1</v>
      </c>
      <c r="S33" s="26" t="n">
        <f aca="false">IF(OR(ISBLANK(M33),ISBLANK(N33),ISBLANK(O33)),1,0)</f>
        <v>1</v>
      </c>
      <c r="T33" s="26" t="n">
        <f aca="false">IF(AND(S33=1,OR(ISBLANK(L33),L33="-")),1,0)</f>
        <v>0</v>
      </c>
      <c r="U33" s="26" t="n">
        <f aca="false">IF(H33&lt;ReportDate,1,0)</f>
        <v>0</v>
      </c>
    </row>
    <row r="34" customFormat="false" ht="15" hidden="false" customHeight="false" outlineLevel="0" collapsed="false">
      <c r="A34" s="22" t="s">
        <v>240</v>
      </c>
      <c r="B34" s="22" t="s">
        <v>241</v>
      </c>
      <c r="C34" s="22" t="str">
        <f aca="false">VLOOKUP(B34,'Lookup Data'!$A$4:$B$20,2,FALSE())</f>
        <v>LATAM</v>
      </c>
      <c r="D34" s="22" t="s">
        <v>242</v>
      </c>
      <c r="E34" s="22" t="s">
        <v>243</v>
      </c>
      <c r="F34" s="22" t="s">
        <v>55</v>
      </c>
      <c r="G34" s="22" t="s">
        <v>95</v>
      </c>
      <c r="H34" s="23" t="n">
        <v>45986</v>
      </c>
      <c r="I34" s="22" t="s">
        <v>102</v>
      </c>
      <c r="J34" s="24" t="b">
        <f aca="false">TRUE()</f>
        <v>1</v>
      </c>
      <c r="K34" s="25" t="n">
        <v>10180</v>
      </c>
      <c r="L34" s="22" t="s">
        <v>88</v>
      </c>
      <c r="M34" s="22"/>
      <c r="N34" s="22"/>
      <c r="O34" s="22" t="s">
        <v>145</v>
      </c>
      <c r="P34" s="26" t="n">
        <f aca="false">IF(G34="-",1,0)</f>
        <v>0</v>
      </c>
      <c r="Q34" s="26" t="n">
        <f aca="false">IF(N(K34)=0,1,0)</f>
        <v>0</v>
      </c>
      <c r="R34" s="26" t="n">
        <f aca="false">IF(AND(J34=TRUE(),N(K34)=0),1,0)</f>
        <v>0</v>
      </c>
      <c r="S34" s="26" t="n">
        <f aca="false">IF(OR(ISBLANK(M34),ISBLANK(N34),ISBLANK(O34)),1,0)</f>
        <v>1</v>
      </c>
      <c r="T34" s="26" t="n">
        <f aca="false">IF(AND(S34=1,OR(ISBLANK(L34),L34="-")),1,0)</f>
        <v>1</v>
      </c>
      <c r="U34" s="26" t="n">
        <f aca="false">IF(H34&lt;ReportDate,1,0)</f>
        <v>0</v>
      </c>
    </row>
    <row r="35" customFormat="false" ht="15" hidden="false" customHeight="false" outlineLevel="0" collapsed="false">
      <c r="A35" s="22" t="s">
        <v>244</v>
      </c>
      <c r="B35" s="22" t="s">
        <v>221</v>
      </c>
      <c r="C35" s="22" t="str">
        <f aca="false">VLOOKUP(B35,'Lookup Data'!$A$4:$B$20,2,FALSE())</f>
        <v>EMEA S</v>
      </c>
      <c r="D35" s="22" t="s">
        <v>245</v>
      </c>
      <c r="E35" s="22" t="s">
        <v>169</v>
      </c>
      <c r="F35" s="22" t="s">
        <v>52</v>
      </c>
      <c r="G35" s="22" t="s">
        <v>246</v>
      </c>
      <c r="H35" s="23" t="n">
        <v>45881</v>
      </c>
      <c r="I35" s="22" t="s">
        <v>45</v>
      </c>
      <c r="J35" s="24" t="b">
        <f aca="false">FALSE()</f>
        <v>0</v>
      </c>
      <c r="K35" s="25" t="n">
        <v>24070</v>
      </c>
      <c r="L35" s="22" t="s">
        <v>247</v>
      </c>
      <c r="M35" s="22" t="s">
        <v>248</v>
      </c>
      <c r="N35" s="22" t="s">
        <v>172</v>
      </c>
      <c r="O35" s="22" t="s">
        <v>152</v>
      </c>
      <c r="P35" s="26" t="n">
        <f aca="false">IF(G35="-",1,0)</f>
        <v>0</v>
      </c>
      <c r="Q35" s="26" t="n">
        <f aca="false">IF(N(K35)=0,1,0)</f>
        <v>0</v>
      </c>
      <c r="R35" s="26" t="n">
        <f aca="false">IF(AND(J35=TRUE(),N(K35)=0),1,0)</f>
        <v>0</v>
      </c>
      <c r="S35" s="26" t="n">
        <f aca="false">IF(OR(ISBLANK(M35),ISBLANK(N35),ISBLANK(O35)),1,0)</f>
        <v>0</v>
      </c>
      <c r="T35" s="26" t="n">
        <f aca="false">IF(AND(S35=1,OR(ISBLANK(L35),L35="-")),1,0)</f>
        <v>0</v>
      </c>
      <c r="U35" s="26" t="n">
        <f aca="false">IF(H35&lt;ReportDate,1,0)</f>
        <v>0</v>
      </c>
    </row>
    <row r="36" customFormat="false" ht="15" hidden="false" customHeight="false" outlineLevel="0" collapsed="false">
      <c r="A36" s="22" t="s">
        <v>249</v>
      </c>
      <c r="B36" s="22" t="s">
        <v>250</v>
      </c>
      <c r="C36" s="22" t="str">
        <f aca="false">VLOOKUP(B36,'Lookup Data'!$A$4:$B$20,2,FALSE())</f>
        <v>EMEA S</v>
      </c>
      <c r="D36" s="22" t="s">
        <v>251</v>
      </c>
      <c r="E36" s="22" t="s">
        <v>252</v>
      </c>
      <c r="F36" s="22" t="s">
        <v>52</v>
      </c>
      <c r="G36" s="22" t="s">
        <v>123</v>
      </c>
      <c r="H36" s="23" t="n">
        <v>45927</v>
      </c>
      <c r="I36" s="22" t="s">
        <v>45</v>
      </c>
      <c r="J36" s="24" t="b">
        <f aca="false">TRUE()</f>
        <v>1</v>
      </c>
      <c r="K36" s="25" t="n">
        <v>13660</v>
      </c>
      <c r="L36" s="22" t="s">
        <v>253</v>
      </c>
      <c r="M36" s="22" t="s">
        <v>254</v>
      </c>
      <c r="N36" s="22" t="s">
        <v>91</v>
      </c>
      <c r="O36" s="22" t="s">
        <v>152</v>
      </c>
      <c r="P36" s="26" t="n">
        <f aca="false">IF(G36="-",1,0)</f>
        <v>0</v>
      </c>
      <c r="Q36" s="26" t="n">
        <f aca="false">IF(N(K36)=0,1,0)</f>
        <v>0</v>
      </c>
      <c r="R36" s="26" t="n">
        <f aca="false">IF(AND(J36=TRUE(),N(K36)=0),1,0)</f>
        <v>0</v>
      </c>
      <c r="S36" s="26" t="n">
        <f aca="false">IF(OR(ISBLANK(M36),ISBLANK(N36),ISBLANK(O36)),1,0)</f>
        <v>0</v>
      </c>
      <c r="T36" s="26" t="n">
        <f aca="false">IF(AND(S36=1,OR(ISBLANK(L36),L36="-")),1,0)</f>
        <v>0</v>
      </c>
      <c r="U36" s="26" t="n">
        <f aca="false">IF(H36&lt;ReportDate,1,0)</f>
        <v>0</v>
      </c>
    </row>
    <row r="37" customFormat="false" ht="15" hidden="false" customHeight="false" outlineLevel="0" collapsed="false">
      <c r="A37" s="22" t="s">
        <v>255</v>
      </c>
      <c r="B37" s="22" t="s">
        <v>108</v>
      </c>
      <c r="C37" s="22" t="str">
        <f aca="false">VLOOKUP(B37,'Lookup Data'!$A$4:$B$20,2,FALSE())</f>
        <v>NA</v>
      </c>
      <c r="D37" s="22" t="s">
        <v>256</v>
      </c>
      <c r="E37" s="22" t="s">
        <v>110</v>
      </c>
      <c r="F37" s="22" t="s">
        <v>55</v>
      </c>
      <c r="G37" s="22" t="s">
        <v>88</v>
      </c>
      <c r="H37" s="23" t="n">
        <v>45908</v>
      </c>
      <c r="I37" s="22" t="s">
        <v>45</v>
      </c>
      <c r="J37" s="24" t="b">
        <f aca="false">FALSE()</f>
        <v>0</v>
      </c>
      <c r="K37" s="25" t="n">
        <v>9890</v>
      </c>
      <c r="L37" s="22" t="s">
        <v>88</v>
      </c>
      <c r="M37" s="22"/>
      <c r="N37" s="22"/>
      <c r="O37" s="22" t="s">
        <v>106</v>
      </c>
      <c r="P37" s="26" t="n">
        <f aca="false">IF(G37="-",1,0)</f>
        <v>1</v>
      </c>
      <c r="Q37" s="26" t="n">
        <f aca="false">IF(N(K37)=0,1,0)</f>
        <v>0</v>
      </c>
      <c r="R37" s="26" t="n">
        <f aca="false">IF(AND(J37=TRUE(),N(K37)=0),1,0)</f>
        <v>0</v>
      </c>
      <c r="S37" s="26" t="n">
        <f aca="false">IF(OR(ISBLANK(M37),ISBLANK(N37),ISBLANK(O37)),1,0)</f>
        <v>1</v>
      </c>
      <c r="T37" s="26" t="n">
        <f aca="false">IF(AND(S37=1,OR(ISBLANK(L37),L37="-")),1,0)</f>
        <v>1</v>
      </c>
      <c r="U37" s="26" t="n">
        <f aca="false">IF(H37&lt;ReportDate,1,0)</f>
        <v>0</v>
      </c>
    </row>
    <row r="38" customFormat="false" ht="15" hidden="false" customHeight="false" outlineLevel="0" collapsed="false">
      <c r="A38" s="22" t="s">
        <v>257</v>
      </c>
      <c r="B38" s="22" t="s">
        <v>258</v>
      </c>
      <c r="C38" s="22" t="str">
        <f aca="false">VLOOKUP(B38,'Lookup Data'!$A$4:$B$20,2,FALSE())</f>
        <v>APJ</v>
      </c>
      <c r="D38" s="22" t="s">
        <v>259</v>
      </c>
      <c r="E38" s="22" t="s">
        <v>260</v>
      </c>
      <c r="F38" s="22" t="s">
        <v>51</v>
      </c>
      <c r="G38" s="22" t="s">
        <v>95</v>
      </c>
      <c r="H38" s="23" t="n">
        <v>46012</v>
      </c>
      <c r="I38" s="22" t="s">
        <v>102</v>
      </c>
      <c r="J38" s="24" t="b">
        <f aca="false">FALSE()</f>
        <v>0</v>
      </c>
      <c r="K38" s="25" t="n">
        <v>12260</v>
      </c>
      <c r="L38" s="22" t="s">
        <v>261</v>
      </c>
      <c r="M38" s="22" t="s">
        <v>262</v>
      </c>
      <c r="N38" s="22" t="s">
        <v>91</v>
      </c>
      <c r="O38" s="22" t="s">
        <v>212</v>
      </c>
      <c r="P38" s="26" t="n">
        <f aca="false">IF(G38="-",1,0)</f>
        <v>0</v>
      </c>
      <c r="Q38" s="26" t="n">
        <f aca="false">IF(N(K38)=0,1,0)</f>
        <v>0</v>
      </c>
      <c r="R38" s="26" t="n">
        <f aca="false">IF(AND(J38=TRUE(),N(K38)=0),1,0)</f>
        <v>0</v>
      </c>
      <c r="S38" s="26" t="n">
        <f aca="false">IF(OR(ISBLANK(M38),ISBLANK(N38),ISBLANK(O38)),1,0)</f>
        <v>0</v>
      </c>
      <c r="T38" s="26" t="n">
        <f aca="false">IF(AND(S38=1,OR(ISBLANK(L38),L38="-")),1,0)</f>
        <v>0</v>
      </c>
      <c r="U38" s="26" t="n">
        <f aca="false">IF(H38&lt;ReportDate,1,0)</f>
        <v>0</v>
      </c>
    </row>
    <row r="39" customFormat="false" ht="15" hidden="false" customHeight="false" outlineLevel="0" collapsed="false">
      <c r="A39" s="22" t="s">
        <v>263</v>
      </c>
      <c r="B39" s="22" t="s">
        <v>264</v>
      </c>
      <c r="C39" s="22" t="str">
        <f aca="false">VLOOKUP(B39,'Lookup Data'!$A$4:$B$20,2,FALSE())</f>
        <v>EMEA N</v>
      </c>
      <c r="D39" s="22" t="s">
        <v>265</v>
      </c>
      <c r="E39" s="22" t="s">
        <v>252</v>
      </c>
      <c r="F39" s="22" t="s">
        <v>53</v>
      </c>
      <c r="G39" s="22" t="s">
        <v>123</v>
      </c>
      <c r="H39" s="23" t="n">
        <v>45860</v>
      </c>
      <c r="I39" s="22" t="s">
        <v>45</v>
      </c>
      <c r="J39" s="24" t="b">
        <f aca="false">TRUE()</f>
        <v>1</v>
      </c>
      <c r="K39" s="25" t="n">
        <v>1250</v>
      </c>
      <c r="L39" s="22" t="s">
        <v>266</v>
      </c>
      <c r="M39" s="22" t="s">
        <v>267</v>
      </c>
      <c r="N39" s="22" t="s">
        <v>113</v>
      </c>
      <c r="O39" s="22" t="s">
        <v>92</v>
      </c>
      <c r="P39" s="26" t="n">
        <f aca="false">IF(G39="-",1,0)</f>
        <v>0</v>
      </c>
      <c r="Q39" s="26" t="n">
        <f aca="false">IF(N(K39)=0,1,0)</f>
        <v>0</v>
      </c>
      <c r="R39" s="26" t="n">
        <f aca="false">IF(AND(J39=TRUE(),N(K39)=0),1,0)</f>
        <v>0</v>
      </c>
      <c r="S39" s="26" t="n">
        <f aca="false">IF(OR(ISBLANK(M39),ISBLANK(N39),ISBLANK(O39)),1,0)</f>
        <v>0</v>
      </c>
      <c r="T39" s="26" t="n">
        <f aca="false">IF(AND(S39=1,OR(ISBLANK(L39),L39="-")),1,0)</f>
        <v>0</v>
      </c>
      <c r="U39" s="26" t="n">
        <f aca="false">IF(H39&lt;ReportDate,1,0)</f>
        <v>0</v>
      </c>
    </row>
    <row r="40" customFormat="false" ht="15" hidden="false" customHeight="false" outlineLevel="0" collapsed="false">
      <c r="A40" s="22" t="s">
        <v>268</v>
      </c>
      <c r="B40" s="22" t="s">
        <v>258</v>
      </c>
      <c r="C40" s="22" t="str">
        <f aca="false">VLOOKUP(B40,'Lookup Data'!$A$4:$B$20,2,FALSE())</f>
        <v>APJ</v>
      </c>
      <c r="D40" s="22" t="s">
        <v>269</v>
      </c>
      <c r="E40" s="22" t="s">
        <v>270</v>
      </c>
      <c r="F40" s="22" t="s">
        <v>51</v>
      </c>
      <c r="G40" s="22" t="s">
        <v>123</v>
      </c>
      <c r="H40" s="23" t="n">
        <v>45884</v>
      </c>
      <c r="I40" s="22" t="s">
        <v>45</v>
      </c>
      <c r="J40" s="24" t="b">
        <f aca="false">TRUE()</f>
        <v>1</v>
      </c>
      <c r="K40" s="25" t="n">
        <v>13600</v>
      </c>
      <c r="L40" s="22" t="s">
        <v>271</v>
      </c>
      <c r="M40" s="22" t="s">
        <v>272</v>
      </c>
      <c r="N40" s="22" t="s">
        <v>105</v>
      </c>
      <c r="O40" s="22" t="s">
        <v>212</v>
      </c>
      <c r="P40" s="26" t="n">
        <f aca="false">IF(G40="-",1,0)</f>
        <v>0</v>
      </c>
      <c r="Q40" s="26" t="n">
        <f aca="false">IF(N(K40)=0,1,0)</f>
        <v>0</v>
      </c>
      <c r="R40" s="26" t="n">
        <f aca="false">IF(AND(J40=TRUE(),N(K40)=0),1,0)</f>
        <v>0</v>
      </c>
      <c r="S40" s="26" t="n">
        <f aca="false">IF(OR(ISBLANK(M40),ISBLANK(N40),ISBLANK(O40)),1,0)</f>
        <v>0</v>
      </c>
      <c r="T40" s="26" t="n">
        <f aca="false">IF(AND(S40=1,OR(ISBLANK(L40),L40="-")),1,0)</f>
        <v>0</v>
      </c>
      <c r="U40" s="26" t="n">
        <f aca="false">IF(H40&lt;ReportDate,1,0)</f>
        <v>0</v>
      </c>
    </row>
    <row r="41" customFormat="false" ht="15" hidden="false" customHeight="false" outlineLevel="0" collapsed="false">
      <c r="A41" s="22" t="s">
        <v>273</v>
      </c>
      <c r="B41" s="22" t="s">
        <v>115</v>
      </c>
      <c r="C41" s="22" t="str">
        <f aca="false">VLOOKUP(B41,'Lookup Data'!$A$4:$B$20,2,FALSE())</f>
        <v>EMEA N</v>
      </c>
      <c r="D41" s="22" t="s">
        <v>237</v>
      </c>
      <c r="E41" s="22" t="s">
        <v>87</v>
      </c>
      <c r="F41" s="22" t="s">
        <v>52</v>
      </c>
      <c r="G41" s="22" t="s">
        <v>123</v>
      </c>
      <c r="H41" s="23" t="n">
        <v>45925</v>
      </c>
      <c r="I41" s="22" t="s">
        <v>45</v>
      </c>
      <c r="J41" s="24" t="b">
        <f aca="false">FALSE()</f>
        <v>0</v>
      </c>
      <c r="K41" s="25" t="n">
        <v>1460</v>
      </c>
      <c r="L41" s="22" t="s">
        <v>274</v>
      </c>
      <c r="M41" s="22" t="s">
        <v>275</v>
      </c>
      <c r="N41" s="22" t="s">
        <v>91</v>
      </c>
      <c r="O41" s="22" t="s">
        <v>92</v>
      </c>
      <c r="P41" s="26" t="n">
        <f aca="false">IF(G41="-",1,0)</f>
        <v>0</v>
      </c>
      <c r="Q41" s="26" t="n">
        <f aca="false">IF(N(K41)=0,1,0)</f>
        <v>0</v>
      </c>
      <c r="R41" s="26" t="n">
        <f aca="false">IF(AND(J41=TRUE(),N(K41)=0),1,0)</f>
        <v>0</v>
      </c>
      <c r="S41" s="26" t="n">
        <f aca="false">IF(OR(ISBLANK(M41),ISBLANK(N41),ISBLANK(O41)),1,0)</f>
        <v>0</v>
      </c>
      <c r="T41" s="26" t="n">
        <f aca="false">IF(AND(S41=1,OR(ISBLANK(L41),L41="-")),1,0)</f>
        <v>0</v>
      </c>
      <c r="U41" s="26" t="n">
        <f aca="false">IF(H41&lt;ReportDate,1,0)</f>
        <v>0</v>
      </c>
    </row>
    <row r="42" customFormat="false" ht="15" hidden="false" customHeight="false" outlineLevel="0" collapsed="false">
      <c r="A42" s="22" t="s">
        <v>276</v>
      </c>
      <c r="B42" s="22" t="s">
        <v>154</v>
      </c>
      <c r="C42" s="22" t="str">
        <f aca="false">VLOOKUP(B42,'Lookup Data'!$A$4:$B$20,2,FALSE())</f>
        <v>GCN</v>
      </c>
      <c r="D42" s="22" t="s">
        <v>277</v>
      </c>
      <c r="E42" s="22" t="s">
        <v>278</v>
      </c>
      <c r="F42" s="22" t="s">
        <v>52</v>
      </c>
      <c r="G42" s="22" t="s">
        <v>123</v>
      </c>
      <c r="H42" s="23" t="n">
        <v>45852</v>
      </c>
      <c r="I42" s="22" t="s">
        <v>45</v>
      </c>
      <c r="J42" s="24" t="b">
        <f aca="false">FALSE()</f>
        <v>0</v>
      </c>
      <c r="K42" s="25" t="n">
        <v>7130</v>
      </c>
      <c r="L42" s="22" t="s">
        <v>88</v>
      </c>
      <c r="M42" s="22"/>
      <c r="N42" s="22"/>
      <c r="O42" s="22" t="s">
        <v>157</v>
      </c>
      <c r="P42" s="26" t="n">
        <f aca="false">IF(G42="-",1,0)</f>
        <v>0</v>
      </c>
      <c r="Q42" s="26" t="n">
        <f aca="false">IF(N(K42)=0,1,0)</f>
        <v>0</v>
      </c>
      <c r="R42" s="26" t="n">
        <f aca="false">IF(AND(J42=TRUE(),N(K42)=0),1,0)</f>
        <v>0</v>
      </c>
      <c r="S42" s="26" t="n">
        <f aca="false">IF(OR(ISBLANK(M42),ISBLANK(N42),ISBLANK(O42)),1,0)</f>
        <v>1</v>
      </c>
      <c r="T42" s="26" t="n">
        <f aca="false">IF(AND(S42=1,OR(ISBLANK(L42),L42="-")),1,0)</f>
        <v>1</v>
      </c>
      <c r="U42" s="26" t="n">
        <f aca="false">IF(H42&lt;ReportDate,1,0)</f>
        <v>0</v>
      </c>
    </row>
    <row r="43" customFormat="false" ht="15" hidden="false" customHeight="false" outlineLevel="0" collapsed="false">
      <c r="A43" s="22" t="s">
        <v>279</v>
      </c>
      <c r="B43" s="22" t="s">
        <v>85</v>
      </c>
      <c r="C43" s="22" t="str">
        <f aca="false">VLOOKUP(B43,'Lookup Data'!$A$4:$B$20,2,FALSE())</f>
        <v>EMEA N</v>
      </c>
      <c r="D43" s="22" t="s">
        <v>280</v>
      </c>
      <c r="E43" s="22" t="s">
        <v>149</v>
      </c>
      <c r="F43" s="22" t="s">
        <v>52</v>
      </c>
      <c r="G43" s="22" t="s">
        <v>95</v>
      </c>
      <c r="H43" s="23" t="n">
        <v>45856</v>
      </c>
      <c r="I43" s="22" t="s">
        <v>45</v>
      </c>
      <c r="J43" s="24" t="b">
        <f aca="false">FALSE()</f>
        <v>0</v>
      </c>
      <c r="K43" s="25" t="n">
        <v>11450</v>
      </c>
      <c r="L43" s="22" t="s">
        <v>281</v>
      </c>
      <c r="M43" s="22" t="s">
        <v>282</v>
      </c>
      <c r="N43" s="22" t="s">
        <v>91</v>
      </c>
      <c r="O43" s="22" t="s">
        <v>92</v>
      </c>
      <c r="P43" s="26" t="n">
        <f aca="false">IF(G43="-",1,0)</f>
        <v>0</v>
      </c>
      <c r="Q43" s="26" t="n">
        <f aca="false">IF(N(K43)=0,1,0)</f>
        <v>0</v>
      </c>
      <c r="R43" s="26" t="n">
        <f aca="false">IF(AND(J43=TRUE(),N(K43)=0),1,0)</f>
        <v>0</v>
      </c>
      <c r="S43" s="26" t="n">
        <f aca="false">IF(OR(ISBLANK(M43),ISBLANK(N43),ISBLANK(O43)),1,0)</f>
        <v>0</v>
      </c>
      <c r="T43" s="26" t="n">
        <f aca="false">IF(AND(S43=1,OR(ISBLANK(L43),L43="-")),1,0)</f>
        <v>0</v>
      </c>
      <c r="U43" s="26" t="n">
        <f aca="false">IF(H43&lt;ReportDate,1,0)</f>
        <v>0</v>
      </c>
    </row>
    <row r="44" customFormat="false" ht="15" hidden="false" customHeight="false" outlineLevel="0" collapsed="false">
      <c r="A44" s="22" t="s">
        <v>283</v>
      </c>
      <c r="B44" s="22" t="s">
        <v>115</v>
      </c>
      <c r="C44" s="22" t="str">
        <f aca="false">VLOOKUP(B44,'Lookup Data'!$A$4:$B$20,2,FALSE())</f>
        <v>EMEA N</v>
      </c>
      <c r="D44" s="22" t="s">
        <v>284</v>
      </c>
      <c r="E44" s="22" t="s">
        <v>149</v>
      </c>
      <c r="F44" s="22" t="s">
        <v>51</v>
      </c>
      <c r="G44" s="22" t="s">
        <v>123</v>
      </c>
      <c r="H44" s="23" t="n">
        <v>45916</v>
      </c>
      <c r="I44" s="22" t="s">
        <v>45</v>
      </c>
      <c r="J44" s="24" t="b">
        <f aca="false">TRUE()</f>
        <v>1</v>
      </c>
      <c r="K44" s="25" t="n">
        <v>18440</v>
      </c>
      <c r="L44" s="22" t="s">
        <v>285</v>
      </c>
      <c r="M44" s="22" t="s">
        <v>286</v>
      </c>
      <c r="N44" s="22" t="s">
        <v>105</v>
      </c>
      <c r="O44" s="22" t="s">
        <v>92</v>
      </c>
      <c r="P44" s="26" t="n">
        <f aca="false">IF(G44="-",1,0)</f>
        <v>0</v>
      </c>
      <c r="Q44" s="26" t="n">
        <f aca="false">IF(N(K44)=0,1,0)</f>
        <v>0</v>
      </c>
      <c r="R44" s="26" t="n">
        <f aca="false">IF(AND(J44=TRUE(),N(K44)=0),1,0)</f>
        <v>0</v>
      </c>
      <c r="S44" s="26" t="n">
        <f aca="false">IF(OR(ISBLANK(M44),ISBLANK(N44),ISBLANK(O44)),1,0)</f>
        <v>0</v>
      </c>
      <c r="T44" s="26" t="n">
        <f aca="false">IF(AND(S44=1,OR(ISBLANK(L44),L44="-")),1,0)</f>
        <v>0</v>
      </c>
      <c r="U44" s="26" t="n">
        <f aca="false">IF(H44&lt;ReportDate,1,0)</f>
        <v>0</v>
      </c>
    </row>
    <row r="45" customFormat="false" ht="15" hidden="false" customHeight="false" outlineLevel="0" collapsed="false">
      <c r="A45" s="22" t="s">
        <v>287</v>
      </c>
      <c r="B45" s="22" t="s">
        <v>154</v>
      </c>
      <c r="C45" s="22" t="str">
        <f aca="false">VLOOKUP(B45,'Lookup Data'!$A$4:$B$20,2,FALSE())</f>
        <v>GCN</v>
      </c>
      <c r="D45" s="22" t="s">
        <v>288</v>
      </c>
      <c r="E45" s="22" t="s">
        <v>289</v>
      </c>
      <c r="F45" s="22" t="s">
        <v>51</v>
      </c>
      <c r="G45" s="22" t="s">
        <v>95</v>
      </c>
      <c r="H45" s="23" t="n">
        <v>45870</v>
      </c>
      <c r="I45" s="22" t="s">
        <v>45</v>
      </c>
      <c r="J45" s="24" t="b">
        <f aca="false">FALSE()</f>
        <v>0</v>
      </c>
      <c r="K45" s="25" t="n">
        <v>19720</v>
      </c>
      <c r="L45" s="22" t="s">
        <v>290</v>
      </c>
      <c r="M45" s="22"/>
      <c r="N45" s="22"/>
      <c r="O45" s="22" t="s">
        <v>157</v>
      </c>
      <c r="P45" s="26" t="n">
        <f aca="false">IF(G45="-",1,0)</f>
        <v>0</v>
      </c>
      <c r="Q45" s="26" t="n">
        <f aca="false">IF(N(K45)=0,1,0)</f>
        <v>0</v>
      </c>
      <c r="R45" s="26" t="n">
        <f aca="false">IF(AND(J45=TRUE(),N(K45)=0),1,0)</f>
        <v>0</v>
      </c>
      <c r="S45" s="26" t="n">
        <f aca="false">IF(OR(ISBLANK(M45),ISBLANK(N45),ISBLANK(O45)),1,0)</f>
        <v>1</v>
      </c>
      <c r="T45" s="26" t="n">
        <f aca="false">IF(AND(S45=1,OR(ISBLANK(L45),L45="-")),1,0)</f>
        <v>0</v>
      </c>
      <c r="U45" s="26" t="n">
        <f aca="false">IF(H45&lt;ReportDate,1,0)</f>
        <v>0</v>
      </c>
    </row>
    <row r="46" customFormat="false" ht="15" hidden="false" customHeight="false" outlineLevel="0" collapsed="false">
      <c r="A46" s="22" t="s">
        <v>291</v>
      </c>
      <c r="B46" s="22" t="s">
        <v>141</v>
      </c>
      <c r="C46" s="22" t="str">
        <f aca="false">VLOOKUP(B46,'Lookup Data'!$A$4:$B$20,2,FALSE())</f>
        <v>LATAM</v>
      </c>
      <c r="D46" s="22" t="s">
        <v>292</v>
      </c>
      <c r="E46" s="22" t="s">
        <v>184</v>
      </c>
      <c r="F46" s="22" t="s">
        <v>51</v>
      </c>
      <c r="G46" s="22" t="s">
        <v>123</v>
      </c>
      <c r="H46" s="23" t="n">
        <v>45916</v>
      </c>
      <c r="I46" s="22" t="s">
        <v>45</v>
      </c>
      <c r="J46" s="24" t="b">
        <f aca="false">TRUE()</f>
        <v>1</v>
      </c>
      <c r="K46" s="25" t="n">
        <v>5160</v>
      </c>
      <c r="L46" s="22" t="s">
        <v>293</v>
      </c>
      <c r="M46" s="22" t="s">
        <v>294</v>
      </c>
      <c r="N46" s="22" t="s">
        <v>91</v>
      </c>
      <c r="O46" s="22" t="s">
        <v>145</v>
      </c>
      <c r="P46" s="26" t="n">
        <f aca="false">IF(G46="-",1,0)</f>
        <v>0</v>
      </c>
      <c r="Q46" s="26" t="n">
        <f aca="false">IF(N(K46)=0,1,0)</f>
        <v>0</v>
      </c>
      <c r="R46" s="26" t="n">
        <f aca="false">IF(AND(J46=TRUE(),N(K46)=0),1,0)</f>
        <v>0</v>
      </c>
      <c r="S46" s="26" t="n">
        <f aca="false">IF(OR(ISBLANK(M46),ISBLANK(N46),ISBLANK(O46)),1,0)</f>
        <v>0</v>
      </c>
      <c r="T46" s="26" t="n">
        <f aca="false">IF(AND(S46=1,OR(ISBLANK(L46),L46="-")),1,0)</f>
        <v>0</v>
      </c>
      <c r="U46" s="26" t="n">
        <f aca="false">IF(H46&lt;ReportDate,1,0)</f>
        <v>0</v>
      </c>
    </row>
    <row r="47" customFormat="false" ht="15" hidden="false" customHeight="false" outlineLevel="0" collapsed="false">
      <c r="A47" s="22" t="s">
        <v>295</v>
      </c>
      <c r="B47" s="22" t="s">
        <v>99</v>
      </c>
      <c r="C47" s="22" t="str">
        <f aca="false">VLOOKUP(B47,'Lookup Data'!$A$4:$B$20,2,FALSE())</f>
        <v>NA</v>
      </c>
      <c r="D47" s="22" t="s">
        <v>217</v>
      </c>
      <c r="E47" s="22" t="s">
        <v>296</v>
      </c>
      <c r="F47" s="22" t="s">
        <v>52</v>
      </c>
      <c r="G47" s="22" t="s">
        <v>95</v>
      </c>
      <c r="H47" s="23" t="n">
        <v>45888</v>
      </c>
      <c r="I47" s="22" t="s">
        <v>45</v>
      </c>
      <c r="J47" s="24" t="b">
        <f aca="false">FALSE()</f>
        <v>0</v>
      </c>
      <c r="K47" s="25" t="n">
        <v>22910</v>
      </c>
      <c r="L47" s="22" t="s">
        <v>297</v>
      </c>
      <c r="M47" s="22" t="s">
        <v>298</v>
      </c>
      <c r="N47" s="22" t="s">
        <v>105</v>
      </c>
      <c r="O47" s="22" t="s">
        <v>106</v>
      </c>
      <c r="P47" s="26" t="n">
        <f aca="false">IF(G47="-",1,0)</f>
        <v>0</v>
      </c>
      <c r="Q47" s="26" t="n">
        <f aca="false">IF(N(K47)=0,1,0)</f>
        <v>0</v>
      </c>
      <c r="R47" s="26" t="n">
        <f aca="false">IF(AND(J47=TRUE(),N(K47)=0),1,0)</f>
        <v>0</v>
      </c>
      <c r="S47" s="26" t="n">
        <f aca="false">IF(OR(ISBLANK(M47),ISBLANK(N47),ISBLANK(O47)),1,0)</f>
        <v>0</v>
      </c>
      <c r="T47" s="26" t="n">
        <f aca="false">IF(AND(S47=1,OR(ISBLANK(L47),L47="-")),1,0)</f>
        <v>0</v>
      </c>
      <c r="U47" s="26" t="n">
        <f aca="false">IF(H47&lt;ReportDate,1,0)</f>
        <v>0</v>
      </c>
    </row>
    <row r="48" customFormat="false" ht="15" hidden="false" customHeight="false" outlineLevel="0" collapsed="false">
      <c r="A48" s="22" t="s">
        <v>299</v>
      </c>
      <c r="B48" s="22" t="s">
        <v>108</v>
      </c>
      <c r="C48" s="22" t="str">
        <f aca="false">VLOOKUP(B48,'Lookup Data'!$A$4:$B$20,2,FALSE())</f>
        <v>NA</v>
      </c>
      <c r="D48" s="22" t="s">
        <v>300</v>
      </c>
      <c r="E48" s="22" t="s">
        <v>122</v>
      </c>
      <c r="F48" s="22" t="s">
        <v>52</v>
      </c>
      <c r="G48" s="22" t="s">
        <v>246</v>
      </c>
      <c r="H48" s="23" t="n">
        <v>45863</v>
      </c>
      <c r="I48" s="22" t="s">
        <v>45</v>
      </c>
      <c r="J48" s="24" t="b">
        <f aca="false">FALSE()</f>
        <v>0</v>
      </c>
      <c r="K48" s="25" t="n">
        <v>4840</v>
      </c>
      <c r="L48" s="22" t="s">
        <v>301</v>
      </c>
      <c r="M48" s="22" t="s">
        <v>302</v>
      </c>
      <c r="N48" s="22" t="s">
        <v>105</v>
      </c>
      <c r="O48" s="22" t="s">
        <v>106</v>
      </c>
      <c r="P48" s="26" t="n">
        <f aca="false">IF(G48="-",1,0)</f>
        <v>0</v>
      </c>
      <c r="Q48" s="26" t="n">
        <f aca="false">IF(N(K48)=0,1,0)</f>
        <v>0</v>
      </c>
      <c r="R48" s="26" t="n">
        <f aca="false">IF(AND(J48=TRUE(),N(K48)=0),1,0)</f>
        <v>0</v>
      </c>
      <c r="S48" s="26" t="n">
        <f aca="false">IF(OR(ISBLANK(M48),ISBLANK(N48),ISBLANK(O48)),1,0)</f>
        <v>0</v>
      </c>
      <c r="T48" s="26" t="n">
        <f aca="false">IF(AND(S48=1,OR(ISBLANK(L48),L48="-")),1,0)</f>
        <v>0</v>
      </c>
      <c r="U48" s="26" t="n">
        <f aca="false">IF(H48&lt;ReportDate,1,0)</f>
        <v>0</v>
      </c>
    </row>
    <row r="49" customFormat="false" ht="15" hidden="false" customHeight="false" outlineLevel="0" collapsed="false">
      <c r="A49" s="22" t="s">
        <v>303</v>
      </c>
      <c r="B49" s="22" t="s">
        <v>126</v>
      </c>
      <c r="C49" s="22" t="str">
        <f aca="false">VLOOKUP(B49,'Lookup Data'!$A$4:$B$20,2,FALSE())</f>
        <v>MEE</v>
      </c>
      <c r="D49" s="22" t="s">
        <v>304</v>
      </c>
      <c r="E49" s="22" t="s">
        <v>161</v>
      </c>
      <c r="F49" s="22" t="s">
        <v>53</v>
      </c>
      <c r="G49" s="22" t="s">
        <v>123</v>
      </c>
      <c r="H49" s="23" t="n">
        <v>45845</v>
      </c>
      <c r="I49" s="22" t="s">
        <v>45</v>
      </c>
      <c r="J49" s="24" t="b">
        <f aca="false">FALSE()</f>
        <v>0</v>
      </c>
      <c r="K49" s="25" t="n">
        <v>23620</v>
      </c>
      <c r="L49" s="22" t="s">
        <v>305</v>
      </c>
      <c r="M49" s="22" t="s">
        <v>306</v>
      </c>
      <c r="N49" s="22" t="s">
        <v>113</v>
      </c>
      <c r="O49" s="22" t="s">
        <v>131</v>
      </c>
      <c r="P49" s="26" t="n">
        <f aca="false">IF(G49="-",1,0)</f>
        <v>0</v>
      </c>
      <c r="Q49" s="26" t="n">
        <f aca="false">IF(N(K49)=0,1,0)</f>
        <v>0</v>
      </c>
      <c r="R49" s="26" t="n">
        <f aca="false">IF(AND(J49=TRUE(),N(K49)=0),1,0)</f>
        <v>0</v>
      </c>
      <c r="S49" s="26" t="n">
        <f aca="false">IF(OR(ISBLANK(M49),ISBLANK(N49),ISBLANK(O49)),1,0)</f>
        <v>0</v>
      </c>
      <c r="T49" s="26" t="n">
        <f aca="false">IF(AND(S49=1,OR(ISBLANK(L49),L49="-")),1,0)</f>
        <v>0</v>
      </c>
      <c r="U49" s="26" t="n">
        <f aca="false">IF(H49&lt;ReportDate,1,0)</f>
        <v>1</v>
      </c>
    </row>
    <row r="50" customFormat="false" ht="15" hidden="false" customHeight="false" outlineLevel="0" collapsed="false">
      <c r="A50" s="22" t="s">
        <v>307</v>
      </c>
      <c r="B50" s="22" t="s">
        <v>126</v>
      </c>
      <c r="C50" s="22" t="str">
        <f aca="false">VLOOKUP(B50,'Lookup Data'!$A$4:$B$20,2,FALSE())</f>
        <v>MEE</v>
      </c>
      <c r="D50" s="22" t="s">
        <v>308</v>
      </c>
      <c r="E50" s="22" t="s">
        <v>161</v>
      </c>
      <c r="F50" s="22" t="s">
        <v>55</v>
      </c>
      <c r="G50" s="22" t="s">
        <v>88</v>
      </c>
      <c r="H50" s="23" t="n">
        <v>45842</v>
      </c>
      <c r="I50" s="22" t="s">
        <v>45</v>
      </c>
      <c r="J50" s="24" t="b">
        <f aca="false">FALSE()</f>
        <v>0</v>
      </c>
      <c r="K50" s="25" t="n">
        <v>19100</v>
      </c>
      <c r="L50" s="22" t="s">
        <v>309</v>
      </c>
      <c r="M50" s="22"/>
      <c r="N50" s="22"/>
      <c r="O50" s="22" t="s">
        <v>131</v>
      </c>
      <c r="P50" s="26" t="n">
        <f aca="false">IF(G50="-",1,0)</f>
        <v>1</v>
      </c>
      <c r="Q50" s="26" t="n">
        <f aca="false">IF(N(K50)=0,1,0)</f>
        <v>0</v>
      </c>
      <c r="R50" s="26" t="n">
        <f aca="false">IF(AND(J50=TRUE(),N(K50)=0),1,0)</f>
        <v>0</v>
      </c>
      <c r="S50" s="26" t="n">
        <f aca="false">IF(OR(ISBLANK(M50),ISBLANK(N50),ISBLANK(O50)),1,0)</f>
        <v>1</v>
      </c>
      <c r="T50" s="26" t="n">
        <f aca="false">IF(AND(S50=1,OR(ISBLANK(L50),L50="-")),1,0)</f>
        <v>0</v>
      </c>
      <c r="U50" s="26" t="n">
        <f aca="false">IF(H50&lt;ReportDate,1,0)</f>
        <v>1</v>
      </c>
    </row>
    <row r="51" customFormat="false" ht="15" hidden="false" customHeight="false" outlineLevel="0" collapsed="false">
      <c r="A51" s="22" t="s">
        <v>310</v>
      </c>
      <c r="B51" s="22" t="s">
        <v>141</v>
      </c>
      <c r="C51" s="22" t="str">
        <f aca="false">VLOOKUP(B51,'Lookup Data'!$A$4:$B$20,2,FALSE())</f>
        <v>LATAM</v>
      </c>
      <c r="D51" s="22" t="s">
        <v>311</v>
      </c>
      <c r="E51" s="22" t="s">
        <v>215</v>
      </c>
      <c r="F51" s="22" t="s">
        <v>53</v>
      </c>
      <c r="G51" s="22" t="s">
        <v>123</v>
      </c>
      <c r="H51" s="23" t="n">
        <v>45932</v>
      </c>
      <c r="I51" s="22" t="s">
        <v>102</v>
      </c>
      <c r="J51" s="24" t="b">
        <f aca="false">TRUE()</f>
        <v>1</v>
      </c>
      <c r="K51" s="25" t="n">
        <v>4290</v>
      </c>
      <c r="L51" s="22" t="s">
        <v>312</v>
      </c>
      <c r="M51" s="22"/>
      <c r="N51" s="22"/>
      <c r="O51" s="22" t="s">
        <v>145</v>
      </c>
      <c r="P51" s="26" t="n">
        <f aca="false">IF(G51="-",1,0)</f>
        <v>0</v>
      </c>
      <c r="Q51" s="26" t="n">
        <f aca="false">IF(N(K51)=0,1,0)</f>
        <v>0</v>
      </c>
      <c r="R51" s="26" t="n">
        <f aca="false">IF(AND(J51=TRUE(),N(K51)=0),1,0)</f>
        <v>0</v>
      </c>
      <c r="S51" s="26" t="n">
        <f aca="false">IF(OR(ISBLANK(M51),ISBLANK(N51),ISBLANK(O51)),1,0)</f>
        <v>1</v>
      </c>
      <c r="T51" s="26" t="n">
        <f aca="false">IF(AND(S51=1,OR(ISBLANK(L51),L51="-")),1,0)</f>
        <v>0</v>
      </c>
      <c r="U51" s="26" t="n">
        <f aca="false">IF(H51&lt;ReportDate,1,0)</f>
        <v>0</v>
      </c>
    </row>
    <row r="52" customFormat="false" ht="15" hidden="false" customHeight="false" outlineLevel="0" collapsed="false">
      <c r="A52" s="22" t="s">
        <v>313</v>
      </c>
      <c r="B52" s="22" t="s">
        <v>99</v>
      </c>
      <c r="C52" s="22" t="str">
        <f aca="false">VLOOKUP(B52,'Lookup Data'!$A$4:$B$20,2,FALSE())</f>
        <v>NA</v>
      </c>
      <c r="D52" s="22" t="s">
        <v>174</v>
      </c>
      <c r="E52" s="22" t="s">
        <v>314</v>
      </c>
      <c r="F52" s="22" t="s">
        <v>53</v>
      </c>
      <c r="G52" s="22" t="s">
        <v>123</v>
      </c>
      <c r="H52" s="23" t="n">
        <v>45928</v>
      </c>
      <c r="I52" s="22" t="s">
        <v>45</v>
      </c>
      <c r="J52" s="24" t="b">
        <f aca="false">TRUE()</f>
        <v>1</v>
      </c>
      <c r="K52" s="25" t="n">
        <v>5450</v>
      </c>
      <c r="L52" s="22" t="s">
        <v>315</v>
      </c>
      <c r="M52" s="22" t="s">
        <v>316</v>
      </c>
      <c r="N52" s="22" t="s">
        <v>91</v>
      </c>
      <c r="O52" s="22" t="s">
        <v>106</v>
      </c>
      <c r="P52" s="26" t="n">
        <f aca="false">IF(G52="-",1,0)</f>
        <v>0</v>
      </c>
      <c r="Q52" s="26" t="n">
        <f aca="false">IF(N(K52)=0,1,0)</f>
        <v>0</v>
      </c>
      <c r="R52" s="26" t="n">
        <f aca="false">IF(AND(J52=TRUE(),N(K52)=0),1,0)</f>
        <v>0</v>
      </c>
      <c r="S52" s="26" t="n">
        <f aca="false">IF(OR(ISBLANK(M52),ISBLANK(N52),ISBLANK(O52)),1,0)</f>
        <v>0</v>
      </c>
      <c r="T52" s="26" t="n">
        <f aca="false">IF(AND(S52=1,OR(ISBLANK(L52),L52="-")),1,0)</f>
        <v>0</v>
      </c>
      <c r="U52" s="26" t="n">
        <f aca="false">IF(H52&lt;ReportDate,1,0)</f>
        <v>0</v>
      </c>
    </row>
    <row r="53" customFormat="false" ht="15" hidden="false" customHeight="false" outlineLevel="0" collapsed="false">
      <c r="A53" s="22" t="s">
        <v>317</v>
      </c>
      <c r="B53" s="22" t="s">
        <v>108</v>
      </c>
      <c r="C53" s="22" t="str">
        <f aca="false">VLOOKUP(B53,'Lookup Data'!$A$4:$B$20,2,FALSE())</f>
        <v>NA</v>
      </c>
      <c r="D53" s="22" t="s">
        <v>318</v>
      </c>
      <c r="E53" s="22" t="s">
        <v>319</v>
      </c>
      <c r="F53" s="22" t="s">
        <v>52</v>
      </c>
      <c r="G53" s="22" t="s">
        <v>123</v>
      </c>
      <c r="H53" s="23" t="n">
        <v>45861</v>
      </c>
      <c r="I53" s="22" t="s">
        <v>45</v>
      </c>
      <c r="J53" s="24" t="b">
        <f aca="false">FALSE()</f>
        <v>0</v>
      </c>
      <c r="K53" s="25" t="n">
        <v>24710</v>
      </c>
      <c r="L53" s="22" t="s">
        <v>88</v>
      </c>
      <c r="M53" s="22"/>
      <c r="N53" s="22"/>
      <c r="O53" s="22" t="s">
        <v>106</v>
      </c>
      <c r="P53" s="26" t="n">
        <f aca="false">IF(G53="-",1,0)</f>
        <v>0</v>
      </c>
      <c r="Q53" s="26" t="n">
        <f aca="false">IF(N(K53)=0,1,0)</f>
        <v>0</v>
      </c>
      <c r="R53" s="26" t="n">
        <f aca="false">IF(AND(J53=TRUE(),N(K53)=0),1,0)</f>
        <v>0</v>
      </c>
      <c r="S53" s="26" t="n">
        <f aca="false">IF(OR(ISBLANK(M53),ISBLANK(N53),ISBLANK(O53)),1,0)</f>
        <v>1</v>
      </c>
      <c r="T53" s="26" t="n">
        <f aca="false">IF(AND(S53=1,OR(ISBLANK(L53),L53="-")),1,0)</f>
        <v>1</v>
      </c>
      <c r="U53" s="26" t="n">
        <f aca="false">IF(H53&lt;ReportDate,1,0)</f>
        <v>0</v>
      </c>
    </row>
    <row r="54" customFormat="false" ht="15" hidden="false" customHeight="false" outlineLevel="0" collapsed="false">
      <c r="A54" s="22" t="s">
        <v>320</v>
      </c>
      <c r="B54" s="22" t="s">
        <v>241</v>
      </c>
      <c r="C54" s="22" t="str">
        <f aca="false">VLOOKUP(B54,'Lookup Data'!$A$4:$B$20,2,FALSE())</f>
        <v>LATAM</v>
      </c>
      <c r="D54" s="22" t="s">
        <v>321</v>
      </c>
      <c r="E54" s="22" t="s">
        <v>143</v>
      </c>
      <c r="F54" s="22" t="s">
        <v>54</v>
      </c>
      <c r="G54" s="22" t="s">
        <v>123</v>
      </c>
      <c r="H54" s="23" t="n">
        <v>45927</v>
      </c>
      <c r="I54" s="22" t="s">
        <v>45</v>
      </c>
      <c r="J54" s="24" t="b">
        <f aca="false">FALSE()</f>
        <v>0</v>
      </c>
      <c r="K54" s="25" t="n">
        <v>0</v>
      </c>
      <c r="L54" s="22" t="s">
        <v>322</v>
      </c>
      <c r="M54" s="22"/>
      <c r="N54" s="22" t="s">
        <v>172</v>
      </c>
      <c r="O54" s="22" t="s">
        <v>145</v>
      </c>
      <c r="P54" s="26" t="n">
        <f aca="false">IF(G54="-",1,0)</f>
        <v>0</v>
      </c>
      <c r="Q54" s="26" t="n">
        <f aca="false">IF(N(K54)=0,1,0)</f>
        <v>1</v>
      </c>
      <c r="R54" s="26" t="n">
        <f aca="false">IF(AND(J54=TRUE(),N(K54)=0),1,0)</f>
        <v>0</v>
      </c>
      <c r="S54" s="26" t="n">
        <f aca="false">IF(OR(ISBLANK(M54),ISBLANK(N54),ISBLANK(O54)),1,0)</f>
        <v>1</v>
      </c>
      <c r="T54" s="26" t="n">
        <f aca="false">IF(AND(S54=1,OR(ISBLANK(L54),L54="-")),1,0)</f>
        <v>0</v>
      </c>
      <c r="U54" s="26" t="n">
        <f aca="false">IF(H54&lt;ReportDate,1,0)</f>
        <v>0</v>
      </c>
    </row>
    <row r="55" customFormat="false" ht="15" hidden="false" customHeight="false" outlineLevel="0" collapsed="false">
      <c r="A55" s="22" t="s">
        <v>323</v>
      </c>
      <c r="B55" s="22" t="s">
        <v>99</v>
      </c>
      <c r="C55" s="22" t="str">
        <f aca="false">VLOOKUP(B55,'Lookup Data'!$A$4:$B$20,2,FALSE())</f>
        <v>NA</v>
      </c>
      <c r="D55" s="22" t="s">
        <v>201</v>
      </c>
      <c r="E55" s="22" t="s">
        <v>314</v>
      </c>
      <c r="F55" s="22" t="s">
        <v>54</v>
      </c>
      <c r="G55" s="22" t="s">
        <v>123</v>
      </c>
      <c r="H55" s="23" t="n">
        <v>45844</v>
      </c>
      <c r="I55" s="22" t="s">
        <v>45</v>
      </c>
      <c r="J55" s="24" t="b">
        <f aca="false">FALSE()</f>
        <v>0</v>
      </c>
      <c r="K55" s="25" t="n">
        <v>0</v>
      </c>
      <c r="L55" s="22" t="s">
        <v>324</v>
      </c>
      <c r="M55" s="22"/>
      <c r="N55" s="22"/>
      <c r="O55" s="22" t="s">
        <v>106</v>
      </c>
      <c r="P55" s="26" t="n">
        <f aca="false">IF(G55="-",1,0)</f>
        <v>0</v>
      </c>
      <c r="Q55" s="26" t="n">
        <f aca="false">IF(N(K55)=0,1,0)</f>
        <v>1</v>
      </c>
      <c r="R55" s="26" t="n">
        <f aca="false">IF(AND(J55=TRUE(),N(K55)=0),1,0)</f>
        <v>0</v>
      </c>
      <c r="S55" s="26" t="n">
        <f aca="false">IF(OR(ISBLANK(M55),ISBLANK(N55),ISBLANK(O55)),1,0)</f>
        <v>1</v>
      </c>
      <c r="T55" s="26" t="n">
        <f aca="false">IF(AND(S55=1,OR(ISBLANK(L55),L55="-")),1,0)</f>
        <v>0</v>
      </c>
      <c r="U55" s="26" t="n">
        <f aca="false">IF(H55&lt;ReportDate,1,0)</f>
        <v>1</v>
      </c>
    </row>
    <row r="56" customFormat="false" ht="15" hidden="false" customHeight="false" outlineLevel="0" collapsed="false">
      <c r="A56" s="22" t="s">
        <v>325</v>
      </c>
      <c r="B56" s="22" t="s">
        <v>208</v>
      </c>
      <c r="C56" s="22" t="str">
        <f aca="false">VLOOKUP(B56,'Lookup Data'!$A$4:$B$20,2,FALSE())</f>
        <v>APJ</v>
      </c>
      <c r="D56" s="22" t="s">
        <v>326</v>
      </c>
      <c r="E56" s="22" t="s">
        <v>209</v>
      </c>
      <c r="F56" s="22" t="s">
        <v>53</v>
      </c>
      <c r="G56" s="22" t="s">
        <v>123</v>
      </c>
      <c r="H56" s="23" t="n">
        <v>45900</v>
      </c>
      <c r="I56" s="22" t="s">
        <v>45</v>
      </c>
      <c r="J56" s="24" t="b">
        <f aca="false">FALSE()</f>
        <v>0</v>
      </c>
      <c r="K56" s="25" t="n">
        <v>9360</v>
      </c>
      <c r="L56" s="22" t="s">
        <v>327</v>
      </c>
      <c r="M56" s="22" t="s">
        <v>328</v>
      </c>
      <c r="N56" s="22" t="s">
        <v>105</v>
      </c>
      <c r="O56" s="22" t="s">
        <v>212</v>
      </c>
      <c r="P56" s="26" t="n">
        <f aca="false">IF(G56="-",1,0)</f>
        <v>0</v>
      </c>
      <c r="Q56" s="26" t="n">
        <f aca="false">IF(N(K56)=0,1,0)</f>
        <v>0</v>
      </c>
      <c r="R56" s="26" t="n">
        <f aca="false">IF(AND(J56=TRUE(),N(K56)=0),1,0)</f>
        <v>0</v>
      </c>
      <c r="S56" s="26" t="n">
        <f aca="false">IF(OR(ISBLANK(M56),ISBLANK(N56),ISBLANK(O56)),1,0)</f>
        <v>0</v>
      </c>
      <c r="T56" s="26" t="n">
        <f aca="false">IF(AND(S56=1,OR(ISBLANK(L56),L56="-")),1,0)</f>
        <v>0</v>
      </c>
      <c r="U56" s="26" t="n">
        <f aca="false">IF(H56&lt;ReportDate,1,0)</f>
        <v>0</v>
      </c>
    </row>
    <row r="57" customFormat="false" ht="15" hidden="false" customHeight="false" outlineLevel="0" collapsed="false">
      <c r="A57" s="22" t="s">
        <v>329</v>
      </c>
      <c r="B57" s="22" t="s">
        <v>141</v>
      </c>
      <c r="C57" s="22" t="str">
        <f aca="false">VLOOKUP(B57,'Lookup Data'!$A$4:$B$20,2,FALSE())</f>
        <v>LATAM</v>
      </c>
      <c r="D57" s="22" t="s">
        <v>245</v>
      </c>
      <c r="E57" s="22" t="s">
        <v>243</v>
      </c>
      <c r="F57" s="22" t="s">
        <v>52</v>
      </c>
      <c r="G57" s="22" t="s">
        <v>123</v>
      </c>
      <c r="H57" s="23" t="n">
        <v>45898</v>
      </c>
      <c r="I57" s="22" t="s">
        <v>45</v>
      </c>
      <c r="J57" s="24" t="b">
        <f aca="false">FALSE()</f>
        <v>0</v>
      </c>
      <c r="K57" s="25" t="n">
        <v>16710</v>
      </c>
      <c r="L57" s="22" t="s">
        <v>88</v>
      </c>
      <c r="M57" s="22"/>
      <c r="N57" s="22"/>
      <c r="O57" s="22" t="s">
        <v>145</v>
      </c>
      <c r="P57" s="26" t="n">
        <f aca="false">IF(G57="-",1,0)</f>
        <v>0</v>
      </c>
      <c r="Q57" s="26" t="n">
        <f aca="false">IF(N(K57)=0,1,0)</f>
        <v>0</v>
      </c>
      <c r="R57" s="26" t="n">
        <f aca="false">IF(AND(J57=TRUE(),N(K57)=0),1,0)</f>
        <v>0</v>
      </c>
      <c r="S57" s="26" t="n">
        <f aca="false">IF(OR(ISBLANK(M57),ISBLANK(N57),ISBLANK(O57)),1,0)</f>
        <v>1</v>
      </c>
      <c r="T57" s="26" t="n">
        <f aca="false">IF(AND(S57=1,OR(ISBLANK(L57),L57="-")),1,0)</f>
        <v>1</v>
      </c>
      <c r="U57" s="26" t="n">
        <f aca="false">IF(H57&lt;ReportDate,1,0)</f>
        <v>0</v>
      </c>
    </row>
    <row r="58" customFormat="false" ht="15" hidden="false" customHeight="false" outlineLevel="0" collapsed="false">
      <c r="A58" s="22" t="s">
        <v>330</v>
      </c>
      <c r="B58" s="22" t="s">
        <v>85</v>
      </c>
      <c r="C58" s="22" t="str">
        <f aca="false">VLOOKUP(B58,'Lookup Data'!$A$4:$B$20,2,FALSE())</f>
        <v>EMEA N</v>
      </c>
      <c r="D58" s="22" t="s">
        <v>331</v>
      </c>
      <c r="E58" s="22" t="s">
        <v>252</v>
      </c>
      <c r="F58" s="22" t="s">
        <v>51</v>
      </c>
      <c r="G58" s="22" t="s">
        <v>332</v>
      </c>
      <c r="H58" s="23" t="n">
        <v>45900</v>
      </c>
      <c r="I58" s="22" t="s">
        <v>45</v>
      </c>
      <c r="J58" s="24" t="b">
        <f aca="false">FALSE()</f>
        <v>0</v>
      </c>
      <c r="K58" s="25" t="n">
        <v>10760</v>
      </c>
      <c r="L58" s="22" t="s">
        <v>333</v>
      </c>
      <c r="M58" s="22" t="s">
        <v>334</v>
      </c>
      <c r="N58" s="22" t="s">
        <v>91</v>
      </c>
      <c r="O58" s="22" t="s">
        <v>92</v>
      </c>
      <c r="P58" s="26" t="n">
        <f aca="false">IF(G58="-",1,0)</f>
        <v>0</v>
      </c>
      <c r="Q58" s="26" t="n">
        <f aca="false">IF(N(K58)=0,1,0)</f>
        <v>0</v>
      </c>
      <c r="R58" s="26" t="n">
        <f aca="false">IF(AND(J58=TRUE(),N(K58)=0),1,0)</f>
        <v>0</v>
      </c>
      <c r="S58" s="26" t="n">
        <f aca="false">IF(OR(ISBLANK(M58),ISBLANK(N58),ISBLANK(O58)),1,0)</f>
        <v>0</v>
      </c>
      <c r="T58" s="26" t="n">
        <f aca="false">IF(AND(S58=1,OR(ISBLANK(L58),L58="-")),1,0)</f>
        <v>0</v>
      </c>
      <c r="U58" s="26" t="n">
        <f aca="false">IF(H58&lt;ReportDate,1,0)</f>
        <v>0</v>
      </c>
    </row>
    <row r="59" customFormat="false" ht="15" hidden="false" customHeight="false" outlineLevel="0" collapsed="false">
      <c r="A59" s="22" t="s">
        <v>335</v>
      </c>
      <c r="B59" s="22" t="s">
        <v>99</v>
      </c>
      <c r="C59" s="22" t="str">
        <f aca="false">VLOOKUP(B59,'Lookup Data'!$A$4:$B$20,2,FALSE())</f>
        <v>NA</v>
      </c>
      <c r="D59" s="22" t="s">
        <v>336</v>
      </c>
      <c r="E59" s="22" t="s">
        <v>122</v>
      </c>
      <c r="F59" s="22" t="s">
        <v>54</v>
      </c>
      <c r="G59" s="22" t="s">
        <v>123</v>
      </c>
      <c r="H59" s="23" t="n">
        <v>45891</v>
      </c>
      <c r="I59" s="22" t="s">
        <v>45</v>
      </c>
      <c r="J59" s="24" t="b">
        <f aca="false">FALSE()</f>
        <v>0</v>
      </c>
      <c r="K59" s="25" t="n">
        <v>19680</v>
      </c>
      <c r="L59" s="22" t="s">
        <v>88</v>
      </c>
      <c r="M59" s="22"/>
      <c r="N59" s="22"/>
      <c r="O59" s="22" t="s">
        <v>106</v>
      </c>
      <c r="P59" s="26" t="n">
        <f aca="false">IF(G59="-",1,0)</f>
        <v>0</v>
      </c>
      <c r="Q59" s="26" t="n">
        <f aca="false">IF(N(K59)=0,1,0)</f>
        <v>0</v>
      </c>
      <c r="R59" s="26" t="n">
        <f aca="false">IF(AND(J59=TRUE(),N(K59)=0),1,0)</f>
        <v>0</v>
      </c>
      <c r="S59" s="26" t="n">
        <f aca="false">IF(OR(ISBLANK(M59),ISBLANK(N59),ISBLANK(O59)),1,0)</f>
        <v>1</v>
      </c>
      <c r="T59" s="26" t="n">
        <f aca="false">IF(AND(S59=1,OR(ISBLANK(L59),L59="-")),1,0)</f>
        <v>1</v>
      </c>
      <c r="U59" s="26" t="n">
        <f aca="false">IF(H59&lt;ReportDate,1,0)</f>
        <v>0</v>
      </c>
    </row>
    <row r="60" customFormat="false" ht="15" hidden="false" customHeight="false" outlineLevel="0" collapsed="false">
      <c r="A60" s="22" t="s">
        <v>337</v>
      </c>
      <c r="B60" s="22" t="s">
        <v>99</v>
      </c>
      <c r="C60" s="22" t="str">
        <f aca="false">VLOOKUP(B60,'Lookup Data'!$A$4:$B$20,2,FALSE())</f>
        <v>NA</v>
      </c>
      <c r="D60" s="22" t="s">
        <v>308</v>
      </c>
      <c r="E60" s="22" t="s">
        <v>101</v>
      </c>
      <c r="F60" s="22" t="s">
        <v>52</v>
      </c>
      <c r="G60" s="22" t="s">
        <v>88</v>
      </c>
      <c r="H60" s="23" t="n">
        <v>45878</v>
      </c>
      <c r="I60" s="22" t="s">
        <v>45</v>
      </c>
      <c r="J60" s="24" t="b">
        <f aca="false">FALSE()</f>
        <v>0</v>
      </c>
      <c r="K60" s="25" t="n">
        <v>21650</v>
      </c>
      <c r="L60" s="22" t="s">
        <v>338</v>
      </c>
      <c r="M60" s="22"/>
      <c r="N60" s="22"/>
      <c r="O60" s="22" t="s">
        <v>106</v>
      </c>
      <c r="P60" s="26" t="n">
        <f aca="false">IF(G60="-",1,0)</f>
        <v>1</v>
      </c>
      <c r="Q60" s="26" t="n">
        <f aca="false">IF(N(K60)=0,1,0)</f>
        <v>0</v>
      </c>
      <c r="R60" s="26" t="n">
        <f aca="false">IF(AND(J60=TRUE(),N(K60)=0),1,0)</f>
        <v>0</v>
      </c>
      <c r="S60" s="26" t="n">
        <f aca="false">IF(OR(ISBLANK(M60),ISBLANK(N60),ISBLANK(O60)),1,0)</f>
        <v>1</v>
      </c>
      <c r="T60" s="26" t="n">
        <f aca="false">IF(AND(S60=1,OR(ISBLANK(L60),L60="-")),1,0)</f>
        <v>0</v>
      </c>
      <c r="U60" s="26" t="n">
        <f aca="false">IF(H60&lt;ReportDate,1,0)</f>
        <v>0</v>
      </c>
    </row>
    <row r="61" customFormat="false" ht="15" hidden="false" customHeight="false" outlineLevel="0" collapsed="false">
      <c r="A61" s="22" t="s">
        <v>339</v>
      </c>
      <c r="B61" s="22" t="s">
        <v>126</v>
      </c>
      <c r="C61" s="22" t="str">
        <f aca="false">VLOOKUP(B61,'Lookup Data'!$A$4:$B$20,2,FALSE())</f>
        <v>MEE</v>
      </c>
      <c r="D61" s="22" t="s">
        <v>217</v>
      </c>
      <c r="E61" s="22" t="s">
        <v>161</v>
      </c>
      <c r="F61" s="22" t="s">
        <v>52</v>
      </c>
      <c r="G61" s="22" t="s">
        <v>95</v>
      </c>
      <c r="H61" s="23" t="n">
        <v>46005</v>
      </c>
      <c r="I61" s="22" t="s">
        <v>102</v>
      </c>
      <c r="J61" s="24" t="b">
        <f aca="false">TRUE()</f>
        <v>1</v>
      </c>
      <c r="K61" s="25" t="n">
        <v>22930</v>
      </c>
      <c r="L61" s="22" t="s">
        <v>88</v>
      </c>
      <c r="M61" s="22"/>
      <c r="N61" s="22"/>
      <c r="O61" s="22" t="s">
        <v>131</v>
      </c>
      <c r="P61" s="26" t="n">
        <f aca="false">IF(G61="-",1,0)</f>
        <v>0</v>
      </c>
      <c r="Q61" s="26" t="n">
        <f aca="false">IF(N(K61)=0,1,0)</f>
        <v>0</v>
      </c>
      <c r="R61" s="26" t="n">
        <f aca="false">IF(AND(J61=TRUE(),N(K61)=0),1,0)</f>
        <v>0</v>
      </c>
      <c r="S61" s="26" t="n">
        <f aca="false">IF(OR(ISBLANK(M61),ISBLANK(N61),ISBLANK(O61)),1,0)</f>
        <v>1</v>
      </c>
      <c r="T61" s="26" t="n">
        <f aca="false">IF(AND(S61=1,OR(ISBLANK(L61),L61="-")),1,0)</f>
        <v>1</v>
      </c>
      <c r="U61" s="26" t="n">
        <f aca="false">IF(H61&lt;ReportDate,1,0)</f>
        <v>0</v>
      </c>
    </row>
    <row r="62" customFormat="false" ht="15" hidden="false" customHeight="false" outlineLevel="0" collapsed="false">
      <c r="A62" s="22" t="s">
        <v>340</v>
      </c>
      <c r="B62" s="22" t="s">
        <v>126</v>
      </c>
      <c r="C62" s="22" t="str">
        <f aca="false">VLOOKUP(B62,'Lookup Data'!$A$4:$B$20,2,FALSE())</f>
        <v>MEE</v>
      </c>
      <c r="D62" s="22" t="s">
        <v>341</v>
      </c>
      <c r="E62" s="22" t="s">
        <v>342</v>
      </c>
      <c r="F62" s="22" t="s">
        <v>55</v>
      </c>
      <c r="G62" s="22" t="s">
        <v>332</v>
      </c>
      <c r="H62" s="23" t="n">
        <v>45871</v>
      </c>
      <c r="I62" s="22" t="s">
        <v>45</v>
      </c>
      <c r="J62" s="24" t="b">
        <f aca="false">TRUE()</f>
        <v>1</v>
      </c>
      <c r="K62" s="25" t="n">
        <v>15400</v>
      </c>
      <c r="L62" s="22" t="s">
        <v>343</v>
      </c>
      <c r="M62" s="22" t="s">
        <v>166</v>
      </c>
      <c r="N62" s="22" t="s">
        <v>113</v>
      </c>
      <c r="O62" s="22" t="s">
        <v>131</v>
      </c>
      <c r="P62" s="26" t="n">
        <f aca="false">IF(G62="-",1,0)</f>
        <v>0</v>
      </c>
      <c r="Q62" s="26" t="n">
        <f aca="false">IF(N(K62)=0,1,0)</f>
        <v>0</v>
      </c>
      <c r="R62" s="26" t="n">
        <f aca="false">IF(AND(J62=TRUE(),N(K62)=0),1,0)</f>
        <v>0</v>
      </c>
      <c r="S62" s="26" t="n">
        <f aca="false">IF(OR(ISBLANK(M62),ISBLANK(N62),ISBLANK(O62)),1,0)</f>
        <v>0</v>
      </c>
      <c r="T62" s="26" t="n">
        <f aca="false">IF(AND(S62=1,OR(ISBLANK(L62),L62="-")),1,0)</f>
        <v>0</v>
      </c>
      <c r="U62" s="26" t="n">
        <f aca="false">IF(H62&lt;ReportDate,1,0)</f>
        <v>0</v>
      </c>
    </row>
    <row r="63" customFormat="false" ht="15" hidden="false" customHeight="false" outlineLevel="0" collapsed="false">
      <c r="A63" s="22" t="s">
        <v>344</v>
      </c>
      <c r="B63" s="22" t="s">
        <v>115</v>
      </c>
      <c r="C63" s="22" t="str">
        <f aca="false">VLOOKUP(B63,'Lookup Data'!$A$4:$B$20,2,FALSE())</f>
        <v>EMEA N</v>
      </c>
      <c r="D63" s="22" t="s">
        <v>345</v>
      </c>
      <c r="E63" s="22" t="s">
        <v>169</v>
      </c>
      <c r="F63" s="22" t="s">
        <v>52</v>
      </c>
      <c r="G63" s="22" t="s">
        <v>332</v>
      </c>
      <c r="H63" s="23" t="n">
        <v>45919</v>
      </c>
      <c r="I63" s="22" t="s">
        <v>45</v>
      </c>
      <c r="J63" s="24" t="b">
        <f aca="false">TRUE()</f>
        <v>1</v>
      </c>
      <c r="K63" s="25" t="n">
        <v>5580</v>
      </c>
      <c r="L63" s="22" t="s">
        <v>346</v>
      </c>
      <c r="M63" s="22" t="s">
        <v>347</v>
      </c>
      <c r="N63" s="22" t="s">
        <v>172</v>
      </c>
      <c r="O63" s="22" t="s">
        <v>92</v>
      </c>
      <c r="P63" s="26" t="n">
        <f aca="false">IF(G63="-",1,0)</f>
        <v>0</v>
      </c>
      <c r="Q63" s="26" t="n">
        <f aca="false">IF(N(K63)=0,1,0)</f>
        <v>0</v>
      </c>
      <c r="R63" s="26" t="n">
        <f aca="false">IF(AND(J63=TRUE(),N(K63)=0),1,0)</f>
        <v>0</v>
      </c>
      <c r="S63" s="26" t="n">
        <f aca="false">IF(OR(ISBLANK(M63),ISBLANK(N63),ISBLANK(O63)),1,0)</f>
        <v>0</v>
      </c>
      <c r="T63" s="26" t="n">
        <f aca="false">IF(AND(S63=1,OR(ISBLANK(L63),L63="-")),1,0)</f>
        <v>0</v>
      </c>
      <c r="U63" s="26" t="n">
        <f aca="false">IF(H63&lt;ReportDate,1,0)</f>
        <v>0</v>
      </c>
    </row>
    <row r="64" customFormat="false" ht="15" hidden="false" customHeight="false" outlineLevel="0" collapsed="false">
      <c r="A64" s="22" t="s">
        <v>348</v>
      </c>
      <c r="B64" s="22" t="s">
        <v>85</v>
      </c>
      <c r="C64" s="22" t="str">
        <f aca="false">VLOOKUP(B64,'Lookup Data'!$A$4:$B$20,2,FALSE())</f>
        <v>EMEA N</v>
      </c>
      <c r="D64" s="22" t="s">
        <v>349</v>
      </c>
      <c r="E64" s="22" t="s">
        <v>350</v>
      </c>
      <c r="F64" s="22" t="s">
        <v>52</v>
      </c>
      <c r="G64" s="22" t="s">
        <v>123</v>
      </c>
      <c r="H64" s="23" t="n">
        <v>46003</v>
      </c>
      <c r="I64" s="22" t="s">
        <v>102</v>
      </c>
      <c r="J64" s="24" t="b">
        <f aca="false">FALSE()</f>
        <v>0</v>
      </c>
      <c r="K64" s="25" t="n">
        <v>10380</v>
      </c>
      <c r="L64" s="22" t="s">
        <v>351</v>
      </c>
      <c r="M64" s="22" t="s">
        <v>352</v>
      </c>
      <c r="N64" s="22" t="s">
        <v>172</v>
      </c>
      <c r="O64" s="22" t="s">
        <v>92</v>
      </c>
      <c r="P64" s="26" t="n">
        <f aca="false">IF(G64="-",1,0)</f>
        <v>0</v>
      </c>
      <c r="Q64" s="26" t="n">
        <f aca="false">IF(N(K64)=0,1,0)</f>
        <v>0</v>
      </c>
      <c r="R64" s="26" t="n">
        <f aca="false">IF(AND(J64=TRUE(),N(K64)=0),1,0)</f>
        <v>0</v>
      </c>
      <c r="S64" s="26" t="n">
        <f aca="false">IF(OR(ISBLANK(M64),ISBLANK(N64),ISBLANK(O64)),1,0)</f>
        <v>0</v>
      </c>
      <c r="T64" s="26" t="n">
        <f aca="false">IF(AND(S64=1,OR(ISBLANK(L64),L64="-")),1,0)</f>
        <v>0</v>
      </c>
      <c r="U64" s="26" t="n">
        <f aca="false">IF(H64&lt;ReportDate,1,0)</f>
        <v>0</v>
      </c>
    </row>
    <row r="65" customFormat="false" ht="15" hidden="false" customHeight="false" outlineLevel="0" collapsed="false">
      <c r="A65" s="22" t="s">
        <v>353</v>
      </c>
      <c r="B65" s="22" t="s">
        <v>221</v>
      </c>
      <c r="C65" s="22" t="str">
        <f aca="false">VLOOKUP(B65,'Lookup Data'!$A$4:$B$20,2,FALSE())</f>
        <v>EMEA S</v>
      </c>
      <c r="D65" s="22" t="s">
        <v>354</v>
      </c>
      <c r="E65" s="22" t="s">
        <v>169</v>
      </c>
      <c r="F65" s="22" t="s">
        <v>51</v>
      </c>
      <c r="G65" s="22" t="s">
        <v>95</v>
      </c>
      <c r="H65" s="23" t="n">
        <v>45851</v>
      </c>
      <c r="I65" s="22" t="s">
        <v>45</v>
      </c>
      <c r="J65" s="24" t="b">
        <f aca="false">TRUE()</f>
        <v>1</v>
      </c>
      <c r="K65" s="25" t="n">
        <v>10240</v>
      </c>
      <c r="L65" s="22" t="s">
        <v>355</v>
      </c>
      <c r="M65" s="22" t="s">
        <v>356</v>
      </c>
      <c r="N65" s="22" t="s">
        <v>91</v>
      </c>
      <c r="O65" s="22" t="s">
        <v>152</v>
      </c>
      <c r="P65" s="26" t="n">
        <f aca="false">IF(G65="-",1,0)</f>
        <v>0</v>
      </c>
      <c r="Q65" s="26" t="n">
        <f aca="false">IF(N(K65)=0,1,0)</f>
        <v>0</v>
      </c>
      <c r="R65" s="26" t="n">
        <f aca="false">IF(AND(J65=TRUE(),N(K65)=0),1,0)</f>
        <v>0</v>
      </c>
      <c r="S65" s="26" t="n">
        <f aca="false">IF(OR(ISBLANK(M65),ISBLANK(N65),ISBLANK(O65)),1,0)</f>
        <v>0</v>
      </c>
      <c r="T65" s="26" t="n">
        <f aca="false">IF(AND(S65=1,OR(ISBLANK(L65),L65="-")),1,0)</f>
        <v>0</v>
      </c>
      <c r="U65" s="26" t="n">
        <f aca="false">IF(H65&lt;ReportDate,1,0)</f>
        <v>0</v>
      </c>
    </row>
    <row r="66" customFormat="false" ht="15" hidden="false" customHeight="false" outlineLevel="0" collapsed="false">
      <c r="A66" s="22" t="s">
        <v>357</v>
      </c>
      <c r="B66" s="22" t="s">
        <v>159</v>
      </c>
      <c r="C66" s="22" t="str">
        <f aca="false">VLOOKUP(B66,'Lookup Data'!$A$4:$B$20,2,FALSE())</f>
        <v>MEE</v>
      </c>
      <c r="D66" s="22" t="s">
        <v>358</v>
      </c>
      <c r="E66" s="22" t="s">
        <v>359</v>
      </c>
      <c r="F66" s="22" t="s">
        <v>52</v>
      </c>
      <c r="G66" s="22" t="s">
        <v>123</v>
      </c>
      <c r="H66" s="23" t="n">
        <v>45871</v>
      </c>
      <c r="I66" s="22" t="s">
        <v>45</v>
      </c>
      <c r="J66" s="24" t="b">
        <f aca="false">TRUE()</f>
        <v>1</v>
      </c>
      <c r="K66" s="25" t="n">
        <v>6240</v>
      </c>
      <c r="L66" s="22" t="s">
        <v>360</v>
      </c>
      <c r="M66" s="22" t="s">
        <v>361</v>
      </c>
      <c r="N66" s="22" t="s">
        <v>113</v>
      </c>
      <c r="O66" s="22" t="s">
        <v>131</v>
      </c>
      <c r="P66" s="26" t="n">
        <f aca="false">IF(G66="-",1,0)</f>
        <v>0</v>
      </c>
      <c r="Q66" s="26" t="n">
        <f aca="false">IF(N(K66)=0,1,0)</f>
        <v>0</v>
      </c>
      <c r="R66" s="26" t="n">
        <f aca="false">IF(AND(J66=TRUE(),N(K66)=0),1,0)</f>
        <v>0</v>
      </c>
      <c r="S66" s="26" t="n">
        <f aca="false">IF(OR(ISBLANK(M66),ISBLANK(N66),ISBLANK(O66)),1,0)</f>
        <v>0</v>
      </c>
      <c r="T66" s="26" t="n">
        <f aca="false">IF(AND(S66=1,OR(ISBLANK(L66),L66="-")),1,0)</f>
        <v>0</v>
      </c>
      <c r="U66" s="26" t="n">
        <f aca="false">IF(H66&lt;ReportDate,1,0)</f>
        <v>0</v>
      </c>
    </row>
    <row r="67" customFormat="false" ht="15" hidden="false" customHeight="false" outlineLevel="0" collapsed="false">
      <c r="A67" s="22" t="s">
        <v>362</v>
      </c>
      <c r="B67" s="22" t="s">
        <v>178</v>
      </c>
      <c r="C67" s="22" t="str">
        <f aca="false">VLOOKUP(B67,'Lookup Data'!$A$4:$B$20,2,FALSE())</f>
        <v>MEE</v>
      </c>
      <c r="D67" s="22" t="s">
        <v>363</v>
      </c>
      <c r="E67" s="22" t="s">
        <v>161</v>
      </c>
      <c r="F67" s="22" t="s">
        <v>53</v>
      </c>
      <c r="G67" s="22" t="s">
        <v>246</v>
      </c>
      <c r="H67" s="23" t="n">
        <v>45895</v>
      </c>
      <c r="I67" s="22" t="s">
        <v>45</v>
      </c>
      <c r="J67" s="24" t="b">
        <f aca="false">TRUE()</f>
        <v>1</v>
      </c>
      <c r="K67" s="25" t="n">
        <v>13860</v>
      </c>
      <c r="L67" s="22" t="s">
        <v>364</v>
      </c>
      <c r="M67" s="22"/>
      <c r="N67" s="22"/>
      <c r="O67" s="22" t="s">
        <v>131</v>
      </c>
      <c r="P67" s="26" t="n">
        <f aca="false">IF(G67="-",1,0)</f>
        <v>0</v>
      </c>
      <c r="Q67" s="26" t="n">
        <f aca="false">IF(N(K67)=0,1,0)</f>
        <v>0</v>
      </c>
      <c r="R67" s="26" t="n">
        <f aca="false">IF(AND(J67=TRUE(),N(K67)=0),1,0)</f>
        <v>0</v>
      </c>
      <c r="S67" s="26" t="n">
        <f aca="false">IF(OR(ISBLANK(M67),ISBLANK(N67),ISBLANK(O67)),1,0)</f>
        <v>1</v>
      </c>
      <c r="T67" s="26" t="n">
        <f aca="false">IF(AND(S67=1,OR(ISBLANK(L67),L67="-")),1,0)</f>
        <v>0</v>
      </c>
      <c r="U67" s="26" t="n">
        <f aca="false">IF(H67&lt;ReportDate,1,0)</f>
        <v>0</v>
      </c>
    </row>
    <row r="68" customFormat="false" ht="15" hidden="false" customHeight="false" outlineLevel="0" collapsed="false">
      <c r="A68" s="22" t="s">
        <v>365</v>
      </c>
      <c r="B68" s="22" t="s">
        <v>366</v>
      </c>
      <c r="C68" s="22" t="str">
        <f aca="false">VLOOKUP(B68,'Lookup Data'!$A$4:$B$20,2,FALSE())</f>
        <v>GCN</v>
      </c>
      <c r="D68" s="22" t="s">
        <v>288</v>
      </c>
      <c r="E68" s="22" t="s">
        <v>238</v>
      </c>
      <c r="F68" s="22" t="s">
        <v>51</v>
      </c>
      <c r="G68" s="22" t="s">
        <v>123</v>
      </c>
      <c r="H68" s="23" t="n">
        <v>45894</v>
      </c>
      <c r="I68" s="22" t="s">
        <v>45</v>
      </c>
      <c r="J68" s="24" t="b">
        <f aca="false">FALSE()</f>
        <v>0</v>
      </c>
      <c r="K68" s="25" t="n">
        <v>16330</v>
      </c>
      <c r="L68" s="22" t="s">
        <v>88</v>
      </c>
      <c r="M68" s="22"/>
      <c r="N68" s="22"/>
      <c r="O68" s="22" t="s">
        <v>157</v>
      </c>
      <c r="P68" s="26" t="n">
        <f aca="false">IF(G68="-",1,0)</f>
        <v>0</v>
      </c>
      <c r="Q68" s="26" t="n">
        <f aca="false">IF(N(K68)=0,1,0)</f>
        <v>0</v>
      </c>
      <c r="R68" s="26" t="n">
        <f aca="false">IF(AND(J68=TRUE(),N(K68)=0),1,0)</f>
        <v>0</v>
      </c>
      <c r="S68" s="26" t="n">
        <f aca="false">IF(OR(ISBLANK(M68),ISBLANK(N68),ISBLANK(O68)),1,0)</f>
        <v>1</v>
      </c>
      <c r="T68" s="26" t="n">
        <f aca="false">IF(AND(S68=1,OR(ISBLANK(L68),L68="-")),1,0)</f>
        <v>1</v>
      </c>
      <c r="U68" s="26" t="n">
        <f aca="false">IF(H68&lt;ReportDate,1,0)</f>
        <v>0</v>
      </c>
    </row>
    <row r="69" customFormat="false" ht="15" hidden="false" customHeight="false" outlineLevel="0" collapsed="false">
      <c r="A69" s="22" t="s">
        <v>367</v>
      </c>
      <c r="B69" s="22" t="s">
        <v>264</v>
      </c>
      <c r="C69" s="22" t="str">
        <f aca="false">VLOOKUP(B69,'Lookup Data'!$A$4:$B$20,2,FALSE())</f>
        <v>EMEA N</v>
      </c>
      <c r="D69" s="22" t="s">
        <v>217</v>
      </c>
      <c r="E69" s="22" t="s">
        <v>350</v>
      </c>
      <c r="F69" s="22" t="s">
        <v>52</v>
      </c>
      <c r="G69" s="22" t="s">
        <v>332</v>
      </c>
      <c r="H69" s="23" t="n">
        <v>45887</v>
      </c>
      <c r="I69" s="22" t="s">
        <v>45</v>
      </c>
      <c r="J69" s="24" t="b">
        <f aca="false">FALSE()</f>
        <v>0</v>
      </c>
      <c r="K69" s="25" t="n">
        <v>15510</v>
      </c>
      <c r="L69" s="22" t="s">
        <v>368</v>
      </c>
      <c r="M69" s="22" t="s">
        <v>369</v>
      </c>
      <c r="N69" s="22" t="s">
        <v>113</v>
      </c>
      <c r="O69" s="22" t="s">
        <v>92</v>
      </c>
      <c r="P69" s="26" t="n">
        <f aca="false">IF(G69="-",1,0)</f>
        <v>0</v>
      </c>
      <c r="Q69" s="26" t="n">
        <f aca="false">IF(N(K69)=0,1,0)</f>
        <v>0</v>
      </c>
      <c r="R69" s="26" t="n">
        <f aca="false">IF(AND(J69=TRUE(),N(K69)=0),1,0)</f>
        <v>0</v>
      </c>
      <c r="S69" s="26" t="n">
        <f aca="false">IF(OR(ISBLANK(M69),ISBLANK(N69),ISBLANK(O69)),1,0)</f>
        <v>0</v>
      </c>
      <c r="T69" s="26" t="n">
        <f aca="false">IF(AND(S69=1,OR(ISBLANK(L69),L69="-")),1,0)</f>
        <v>0</v>
      </c>
      <c r="U69" s="26" t="n">
        <f aca="false">IF(H69&lt;ReportDate,1,0)</f>
        <v>0</v>
      </c>
    </row>
    <row r="70" customFormat="false" ht="15" hidden="false" customHeight="false" outlineLevel="0" collapsed="false">
      <c r="A70" s="22" t="s">
        <v>370</v>
      </c>
      <c r="B70" s="22" t="s">
        <v>208</v>
      </c>
      <c r="C70" s="22" t="str">
        <f aca="false">VLOOKUP(B70,'Lookup Data'!$A$4:$B$20,2,FALSE())</f>
        <v>APJ</v>
      </c>
      <c r="D70" s="22" t="s">
        <v>280</v>
      </c>
      <c r="E70" s="22" t="s">
        <v>209</v>
      </c>
      <c r="F70" s="22" t="s">
        <v>53</v>
      </c>
      <c r="G70" s="22" t="s">
        <v>123</v>
      </c>
      <c r="H70" s="23" t="n">
        <v>45892</v>
      </c>
      <c r="I70" s="22" t="s">
        <v>45</v>
      </c>
      <c r="J70" s="24" t="b">
        <f aca="false">FALSE()</f>
        <v>0</v>
      </c>
      <c r="K70" s="25" t="n">
        <v>0</v>
      </c>
      <c r="L70" s="22" t="s">
        <v>371</v>
      </c>
      <c r="M70" s="22" t="s">
        <v>372</v>
      </c>
      <c r="N70" s="22" t="s">
        <v>105</v>
      </c>
      <c r="O70" s="22" t="s">
        <v>212</v>
      </c>
      <c r="P70" s="26" t="n">
        <f aca="false">IF(G70="-",1,0)</f>
        <v>0</v>
      </c>
      <c r="Q70" s="26" t="n">
        <f aca="false">IF(N(K70)=0,1,0)</f>
        <v>1</v>
      </c>
      <c r="R70" s="26" t="n">
        <f aca="false">IF(AND(J70=TRUE(),N(K70)=0),1,0)</f>
        <v>0</v>
      </c>
      <c r="S70" s="26" t="n">
        <f aca="false">IF(OR(ISBLANK(M70),ISBLANK(N70),ISBLANK(O70)),1,0)</f>
        <v>0</v>
      </c>
      <c r="T70" s="26" t="n">
        <f aca="false">IF(AND(S70=1,OR(ISBLANK(L70),L70="-")),1,0)</f>
        <v>0</v>
      </c>
      <c r="U70" s="26" t="n">
        <f aca="false">IF(H70&lt;ReportDate,1,0)</f>
        <v>0</v>
      </c>
    </row>
    <row r="71" customFormat="false" ht="15" hidden="false" customHeight="false" outlineLevel="0" collapsed="false">
      <c r="A71" s="22" t="s">
        <v>373</v>
      </c>
      <c r="B71" s="22" t="s">
        <v>159</v>
      </c>
      <c r="C71" s="22" t="str">
        <f aca="false">VLOOKUP(B71,'Lookup Data'!$A$4:$B$20,2,FALSE())</f>
        <v>MEE</v>
      </c>
      <c r="D71" s="22" t="s">
        <v>116</v>
      </c>
      <c r="E71" s="22" t="s">
        <v>374</v>
      </c>
      <c r="F71" s="22" t="s">
        <v>54</v>
      </c>
      <c r="G71" s="22" t="s">
        <v>123</v>
      </c>
      <c r="H71" s="23" t="n">
        <v>45896</v>
      </c>
      <c r="I71" s="22" t="s">
        <v>45</v>
      </c>
      <c r="J71" s="24" t="b">
        <f aca="false">TRUE()</f>
        <v>1</v>
      </c>
      <c r="K71" s="25" t="n">
        <v>18060</v>
      </c>
      <c r="L71" s="22" t="s">
        <v>88</v>
      </c>
      <c r="M71" s="22"/>
      <c r="N71" s="22"/>
      <c r="O71" s="22" t="s">
        <v>131</v>
      </c>
      <c r="P71" s="26" t="n">
        <f aca="false">IF(G71="-",1,0)</f>
        <v>0</v>
      </c>
      <c r="Q71" s="26" t="n">
        <f aca="false">IF(N(K71)=0,1,0)</f>
        <v>0</v>
      </c>
      <c r="R71" s="26" t="n">
        <f aca="false">IF(AND(J71=TRUE(),N(K71)=0),1,0)</f>
        <v>0</v>
      </c>
      <c r="S71" s="26" t="n">
        <f aca="false">IF(OR(ISBLANK(M71),ISBLANK(N71),ISBLANK(O71)),1,0)</f>
        <v>1</v>
      </c>
      <c r="T71" s="26" t="n">
        <f aca="false">IF(AND(S71=1,OR(ISBLANK(L71),L71="-")),1,0)</f>
        <v>1</v>
      </c>
      <c r="U71" s="26" t="n">
        <f aca="false">IF(H71&lt;ReportDate,1,0)</f>
        <v>0</v>
      </c>
    </row>
    <row r="72" customFormat="false" ht="15" hidden="false" customHeight="false" outlineLevel="0" collapsed="false">
      <c r="A72" s="22" t="s">
        <v>375</v>
      </c>
      <c r="B72" s="22" t="s">
        <v>115</v>
      </c>
      <c r="C72" s="22" t="str">
        <f aca="false">VLOOKUP(B72,'Lookup Data'!$A$4:$B$20,2,FALSE())</f>
        <v>EMEA N</v>
      </c>
      <c r="D72" s="22" t="s">
        <v>100</v>
      </c>
      <c r="E72" s="22" t="s">
        <v>252</v>
      </c>
      <c r="F72" s="22" t="s">
        <v>53</v>
      </c>
      <c r="G72" s="22" t="s">
        <v>332</v>
      </c>
      <c r="H72" s="23" t="n">
        <v>45918</v>
      </c>
      <c r="I72" s="22" t="s">
        <v>45</v>
      </c>
      <c r="J72" s="24" t="b">
        <f aca="false">FALSE()</f>
        <v>0</v>
      </c>
      <c r="K72" s="25" t="n">
        <v>17050</v>
      </c>
      <c r="L72" s="22" t="s">
        <v>376</v>
      </c>
      <c r="M72" s="22" t="s">
        <v>377</v>
      </c>
      <c r="N72" s="22" t="s">
        <v>91</v>
      </c>
      <c r="O72" s="22" t="s">
        <v>92</v>
      </c>
      <c r="P72" s="26" t="n">
        <f aca="false">IF(G72="-",1,0)</f>
        <v>0</v>
      </c>
      <c r="Q72" s="26" t="n">
        <f aca="false">IF(N(K72)=0,1,0)</f>
        <v>0</v>
      </c>
      <c r="R72" s="26" t="n">
        <f aca="false">IF(AND(J72=TRUE(),N(K72)=0),1,0)</f>
        <v>0</v>
      </c>
      <c r="S72" s="26" t="n">
        <f aca="false">IF(OR(ISBLANK(M72),ISBLANK(N72),ISBLANK(O72)),1,0)</f>
        <v>0</v>
      </c>
      <c r="T72" s="26" t="n">
        <f aca="false">IF(AND(S72=1,OR(ISBLANK(L72),L72="-")),1,0)</f>
        <v>0</v>
      </c>
      <c r="U72" s="26" t="n">
        <f aca="false">IF(H72&lt;ReportDate,1,0)</f>
        <v>0</v>
      </c>
    </row>
    <row r="73" customFormat="false" ht="15" hidden="false" customHeight="false" outlineLevel="0" collapsed="false">
      <c r="A73" s="22" t="s">
        <v>378</v>
      </c>
      <c r="B73" s="22" t="s">
        <v>141</v>
      </c>
      <c r="C73" s="22" t="str">
        <f aca="false">VLOOKUP(B73,'Lookup Data'!$A$4:$B$20,2,FALSE())</f>
        <v>LATAM</v>
      </c>
      <c r="D73" s="22" t="s">
        <v>379</v>
      </c>
      <c r="E73" s="22" t="s">
        <v>215</v>
      </c>
      <c r="F73" s="22" t="s">
        <v>52</v>
      </c>
      <c r="G73" s="22" t="s">
        <v>123</v>
      </c>
      <c r="H73" s="23" t="n">
        <v>45847</v>
      </c>
      <c r="I73" s="22" t="s">
        <v>45</v>
      </c>
      <c r="J73" s="24" t="b">
        <f aca="false">TRUE()</f>
        <v>1</v>
      </c>
      <c r="K73" s="25" t="n">
        <v>14540</v>
      </c>
      <c r="L73" s="22" t="s">
        <v>88</v>
      </c>
      <c r="M73" s="22"/>
      <c r="N73" s="22" t="s">
        <v>105</v>
      </c>
      <c r="O73" s="22" t="s">
        <v>145</v>
      </c>
      <c r="P73" s="26" t="n">
        <f aca="false">IF(G73="-",1,0)</f>
        <v>0</v>
      </c>
      <c r="Q73" s="26" t="n">
        <f aca="false">IF(N(K73)=0,1,0)</f>
        <v>0</v>
      </c>
      <c r="R73" s="26" t="n">
        <f aca="false">IF(AND(J73=TRUE(),N(K73)=0),1,0)</f>
        <v>0</v>
      </c>
      <c r="S73" s="26" t="n">
        <f aca="false">IF(OR(ISBLANK(M73),ISBLANK(N73),ISBLANK(O73)),1,0)</f>
        <v>1</v>
      </c>
      <c r="T73" s="26" t="n">
        <f aca="false">IF(AND(S73=1,OR(ISBLANK(L73),L73="-")),1,0)</f>
        <v>1</v>
      </c>
      <c r="U73" s="26" t="n">
        <f aca="false">IF(H73&lt;ReportDate,1,0)</f>
        <v>0</v>
      </c>
    </row>
    <row r="74" customFormat="false" ht="15" hidden="false" customHeight="false" outlineLevel="0" collapsed="false">
      <c r="A74" s="22" t="s">
        <v>380</v>
      </c>
      <c r="B74" s="22" t="s">
        <v>108</v>
      </c>
      <c r="C74" s="22" t="str">
        <f aca="false">VLOOKUP(B74,'Lookup Data'!$A$4:$B$20,2,FALSE())</f>
        <v>NA</v>
      </c>
      <c r="D74" s="22" t="s">
        <v>381</v>
      </c>
      <c r="E74" s="22" t="s">
        <v>319</v>
      </c>
      <c r="F74" s="22" t="s">
        <v>52</v>
      </c>
      <c r="G74" s="22" t="s">
        <v>123</v>
      </c>
      <c r="H74" s="23" t="n">
        <v>45976</v>
      </c>
      <c r="I74" s="22" t="s">
        <v>102</v>
      </c>
      <c r="J74" s="24" t="b">
        <f aca="false">FALSE()</f>
        <v>0</v>
      </c>
      <c r="K74" s="25" t="n">
        <v>13320</v>
      </c>
      <c r="L74" s="22" t="s">
        <v>382</v>
      </c>
      <c r="M74" s="22"/>
      <c r="N74" s="22"/>
      <c r="O74" s="22" t="s">
        <v>106</v>
      </c>
      <c r="P74" s="26" t="n">
        <f aca="false">IF(G74="-",1,0)</f>
        <v>0</v>
      </c>
      <c r="Q74" s="26" t="n">
        <f aca="false">IF(N(K74)=0,1,0)</f>
        <v>0</v>
      </c>
      <c r="R74" s="26" t="n">
        <f aca="false">IF(AND(J74=TRUE(),N(K74)=0),1,0)</f>
        <v>0</v>
      </c>
      <c r="S74" s="26" t="n">
        <f aca="false">IF(OR(ISBLANK(M74),ISBLANK(N74),ISBLANK(O74)),1,0)</f>
        <v>1</v>
      </c>
      <c r="T74" s="26" t="n">
        <f aca="false">IF(AND(S74=1,OR(ISBLANK(L74),L74="-")),1,0)</f>
        <v>0</v>
      </c>
      <c r="U74" s="26" t="n">
        <f aca="false">IF(H74&lt;ReportDate,1,0)</f>
        <v>0</v>
      </c>
    </row>
    <row r="75" customFormat="false" ht="15" hidden="false" customHeight="false" outlineLevel="0" collapsed="false">
      <c r="A75" s="22" t="s">
        <v>383</v>
      </c>
      <c r="B75" s="22" t="s">
        <v>108</v>
      </c>
      <c r="C75" s="22" t="str">
        <f aca="false">VLOOKUP(B75,'Lookup Data'!$A$4:$B$20,2,FALSE())</f>
        <v>NA</v>
      </c>
      <c r="D75" s="22" t="s">
        <v>174</v>
      </c>
      <c r="E75" s="22" t="s">
        <v>296</v>
      </c>
      <c r="F75" s="22" t="s">
        <v>51</v>
      </c>
      <c r="G75" s="22" t="s">
        <v>123</v>
      </c>
      <c r="H75" s="23" t="n">
        <v>45874</v>
      </c>
      <c r="I75" s="22" t="s">
        <v>45</v>
      </c>
      <c r="J75" s="24" t="b">
        <f aca="false">FALSE()</f>
        <v>0</v>
      </c>
      <c r="K75" s="25" t="n">
        <v>8590</v>
      </c>
      <c r="L75" s="22" t="s">
        <v>88</v>
      </c>
      <c r="M75" s="22"/>
      <c r="N75" s="22" t="s">
        <v>172</v>
      </c>
      <c r="O75" s="22" t="s">
        <v>106</v>
      </c>
      <c r="P75" s="26" t="n">
        <f aca="false">IF(G75="-",1,0)</f>
        <v>0</v>
      </c>
      <c r="Q75" s="26" t="n">
        <f aca="false">IF(N(K75)=0,1,0)</f>
        <v>0</v>
      </c>
      <c r="R75" s="26" t="n">
        <f aca="false">IF(AND(J75=TRUE(),N(K75)=0),1,0)</f>
        <v>0</v>
      </c>
      <c r="S75" s="26" t="n">
        <f aca="false">IF(OR(ISBLANK(M75),ISBLANK(N75),ISBLANK(O75)),1,0)</f>
        <v>1</v>
      </c>
      <c r="T75" s="26" t="n">
        <f aca="false">IF(AND(S75=1,OR(ISBLANK(L75),L75="-")),1,0)</f>
        <v>1</v>
      </c>
      <c r="U75" s="26" t="n">
        <f aca="false">IF(H75&lt;ReportDate,1,0)</f>
        <v>0</v>
      </c>
    </row>
    <row r="76" customFormat="false" ht="15" hidden="false" customHeight="false" outlineLevel="0" collapsed="false">
      <c r="A76" s="22" t="s">
        <v>384</v>
      </c>
      <c r="B76" s="22" t="s">
        <v>264</v>
      </c>
      <c r="C76" s="22" t="str">
        <f aca="false">VLOOKUP(B76,'Lookup Data'!$A$4:$B$20,2,FALSE())</f>
        <v>EMEA N</v>
      </c>
      <c r="D76" s="22" t="s">
        <v>385</v>
      </c>
      <c r="E76" s="22" t="s">
        <v>169</v>
      </c>
      <c r="F76" s="22" t="s">
        <v>52</v>
      </c>
      <c r="G76" s="22" t="s">
        <v>95</v>
      </c>
      <c r="H76" s="23" t="n">
        <v>45978</v>
      </c>
      <c r="I76" s="22" t="s">
        <v>102</v>
      </c>
      <c r="J76" s="24" t="b">
        <f aca="false">FALSE()</f>
        <v>0</v>
      </c>
      <c r="K76" s="25" t="n">
        <v>2360</v>
      </c>
      <c r="L76" s="22" t="s">
        <v>386</v>
      </c>
      <c r="M76" s="22" t="s">
        <v>387</v>
      </c>
      <c r="N76" s="22" t="s">
        <v>105</v>
      </c>
      <c r="O76" s="22" t="s">
        <v>92</v>
      </c>
      <c r="P76" s="26" t="n">
        <f aca="false">IF(G76="-",1,0)</f>
        <v>0</v>
      </c>
      <c r="Q76" s="26" t="n">
        <f aca="false">IF(N(K76)=0,1,0)</f>
        <v>0</v>
      </c>
      <c r="R76" s="26" t="n">
        <f aca="false">IF(AND(J76=TRUE(),N(K76)=0),1,0)</f>
        <v>0</v>
      </c>
      <c r="S76" s="26" t="n">
        <f aca="false">IF(OR(ISBLANK(M76),ISBLANK(N76),ISBLANK(O76)),1,0)</f>
        <v>0</v>
      </c>
      <c r="T76" s="26" t="n">
        <f aca="false">IF(AND(S76=1,OR(ISBLANK(L76),L76="-")),1,0)</f>
        <v>0</v>
      </c>
      <c r="U76" s="26" t="n">
        <f aca="false">IF(H76&lt;ReportDate,1,0)</f>
        <v>0</v>
      </c>
    </row>
    <row r="77" customFormat="false" ht="15" hidden="false" customHeight="false" outlineLevel="0" collapsed="false">
      <c r="A77" s="22" t="s">
        <v>388</v>
      </c>
      <c r="B77" s="22" t="s">
        <v>178</v>
      </c>
      <c r="C77" s="22" t="str">
        <f aca="false">VLOOKUP(B77,'Lookup Data'!$A$4:$B$20,2,FALSE())</f>
        <v>MEE</v>
      </c>
      <c r="D77" s="22" t="s">
        <v>265</v>
      </c>
      <c r="E77" s="22" t="s">
        <v>342</v>
      </c>
      <c r="F77" s="22" t="s">
        <v>52</v>
      </c>
      <c r="G77" s="22" t="s">
        <v>123</v>
      </c>
      <c r="H77" s="23" t="n">
        <v>45862</v>
      </c>
      <c r="I77" s="22" t="s">
        <v>45</v>
      </c>
      <c r="J77" s="24" t="b">
        <f aca="false">FALSE()</f>
        <v>0</v>
      </c>
      <c r="K77" s="25" t="n">
        <v>2660</v>
      </c>
      <c r="L77" s="22" t="s">
        <v>389</v>
      </c>
      <c r="M77" s="22" t="s">
        <v>390</v>
      </c>
      <c r="N77" s="22" t="s">
        <v>91</v>
      </c>
      <c r="O77" s="22" t="s">
        <v>131</v>
      </c>
      <c r="P77" s="26" t="n">
        <f aca="false">IF(G77="-",1,0)</f>
        <v>0</v>
      </c>
      <c r="Q77" s="26" t="n">
        <f aca="false">IF(N(K77)=0,1,0)</f>
        <v>0</v>
      </c>
      <c r="R77" s="26" t="n">
        <f aca="false">IF(AND(J77=TRUE(),N(K77)=0),1,0)</f>
        <v>0</v>
      </c>
      <c r="S77" s="26" t="n">
        <f aca="false">IF(OR(ISBLANK(M77),ISBLANK(N77),ISBLANK(O77)),1,0)</f>
        <v>0</v>
      </c>
      <c r="T77" s="26" t="n">
        <f aca="false">IF(AND(S77=1,OR(ISBLANK(L77),L77="-")),1,0)</f>
        <v>0</v>
      </c>
      <c r="U77" s="26" t="n">
        <f aca="false">IF(H77&lt;ReportDate,1,0)</f>
        <v>0</v>
      </c>
    </row>
    <row r="78" customFormat="false" ht="15" hidden="false" customHeight="false" outlineLevel="0" collapsed="false">
      <c r="A78" s="22" t="s">
        <v>391</v>
      </c>
      <c r="B78" s="22" t="s">
        <v>85</v>
      </c>
      <c r="C78" s="22" t="str">
        <f aca="false">VLOOKUP(B78,'Lookup Data'!$A$4:$B$20,2,FALSE())</f>
        <v>EMEA N</v>
      </c>
      <c r="D78" s="22" t="s">
        <v>392</v>
      </c>
      <c r="E78" s="22" t="s">
        <v>87</v>
      </c>
      <c r="F78" s="22" t="s">
        <v>53</v>
      </c>
      <c r="G78" s="22" t="s">
        <v>123</v>
      </c>
      <c r="H78" s="23" t="n">
        <v>45849</v>
      </c>
      <c r="I78" s="22" t="s">
        <v>45</v>
      </c>
      <c r="J78" s="24" t="b">
        <f aca="false">FALSE()</f>
        <v>0</v>
      </c>
      <c r="K78" s="25" t="n">
        <v>7200</v>
      </c>
      <c r="L78" s="22" t="s">
        <v>393</v>
      </c>
      <c r="M78" s="22" t="s">
        <v>394</v>
      </c>
      <c r="N78" s="22" t="s">
        <v>91</v>
      </c>
      <c r="O78" s="22" t="s">
        <v>92</v>
      </c>
      <c r="P78" s="26" t="n">
        <f aca="false">IF(G78="-",1,0)</f>
        <v>0</v>
      </c>
      <c r="Q78" s="26" t="n">
        <f aca="false">IF(N(K78)=0,1,0)</f>
        <v>0</v>
      </c>
      <c r="R78" s="26" t="n">
        <f aca="false">IF(AND(J78=TRUE(),N(K78)=0),1,0)</f>
        <v>0</v>
      </c>
      <c r="S78" s="26" t="n">
        <f aca="false">IF(OR(ISBLANK(M78),ISBLANK(N78),ISBLANK(O78)),1,0)</f>
        <v>0</v>
      </c>
      <c r="T78" s="26" t="n">
        <f aca="false">IF(AND(S78=1,OR(ISBLANK(L78),L78="-")),1,0)</f>
        <v>0</v>
      </c>
      <c r="U78" s="26" t="n">
        <f aca="false">IF(H78&lt;ReportDate,1,0)</f>
        <v>0</v>
      </c>
    </row>
    <row r="79" customFormat="false" ht="15" hidden="false" customHeight="false" outlineLevel="0" collapsed="false">
      <c r="A79" s="22" t="s">
        <v>395</v>
      </c>
      <c r="B79" s="22" t="s">
        <v>366</v>
      </c>
      <c r="C79" s="22" t="str">
        <f aca="false">VLOOKUP(B79,'Lookup Data'!$A$4:$B$20,2,FALSE())</f>
        <v>GCN</v>
      </c>
      <c r="D79" s="22" t="s">
        <v>396</v>
      </c>
      <c r="E79" s="22" t="s">
        <v>190</v>
      </c>
      <c r="F79" s="22" t="s">
        <v>54</v>
      </c>
      <c r="G79" s="22" t="s">
        <v>123</v>
      </c>
      <c r="H79" s="23" t="n">
        <v>45924</v>
      </c>
      <c r="I79" s="22" t="s">
        <v>45</v>
      </c>
      <c r="J79" s="24" t="b">
        <f aca="false">TRUE()</f>
        <v>1</v>
      </c>
      <c r="K79" s="25" t="n">
        <v>8770</v>
      </c>
      <c r="L79" s="22" t="s">
        <v>397</v>
      </c>
      <c r="M79" s="22"/>
      <c r="N79" s="22"/>
      <c r="O79" s="22" t="s">
        <v>157</v>
      </c>
      <c r="P79" s="26" t="n">
        <f aca="false">IF(G79="-",1,0)</f>
        <v>0</v>
      </c>
      <c r="Q79" s="26" t="n">
        <f aca="false">IF(N(K79)=0,1,0)</f>
        <v>0</v>
      </c>
      <c r="R79" s="26" t="n">
        <f aca="false">IF(AND(J79=TRUE(),N(K79)=0),1,0)</f>
        <v>0</v>
      </c>
      <c r="S79" s="26" t="n">
        <f aca="false">IF(OR(ISBLANK(M79),ISBLANK(N79),ISBLANK(O79)),1,0)</f>
        <v>1</v>
      </c>
      <c r="T79" s="26" t="n">
        <f aca="false">IF(AND(S79=1,OR(ISBLANK(L79),L79="-")),1,0)</f>
        <v>0</v>
      </c>
      <c r="U79" s="26" t="n">
        <f aca="false">IF(H79&lt;ReportDate,1,0)</f>
        <v>0</v>
      </c>
    </row>
    <row r="80" customFormat="false" ht="15" hidden="false" customHeight="false" outlineLevel="0" collapsed="false">
      <c r="A80" s="22" t="s">
        <v>398</v>
      </c>
      <c r="B80" s="22" t="s">
        <v>250</v>
      </c>
      <c r="C80" s="22" t="str">
        <f aca="false">VLOOKUP(B80,'Lookup Data'!$A$4:$B$20,2,FALSE())</f>
        <v>EMEA S</v>
      </c>
      <c r="D80" s="22" t="s">
        <v>399</v>
      </c>
      <c r="E80" s="22" t="s">
        <v>350</v>
      </c>
      <c r="F80" s="22" t="s">
        <v>53</v>
      </c>
      <c r="G80" s="22" t="s">
        <v>95</v>
      </c>
      <c r="H80" s="23" t="n">
        <v>45916</v>
      </c>
      <c r="I80" s="22" t="s">
        <v>45</v>
      </c>
      <c r="J80" s="24" t="b">
        <f aca="false">TRUE()</f>
        <v>1</v>
      </c>
      <c r="K80" s="25" t="n">
        <v>18070</v>
      </c>
      <c r="L80" s="22" t="s">
        <v>400</v>
      </c>
      <c r="M80" s="22" t="s">
        <v>401</v>
      </c>
      <c r="N80" s="22" t="s">
        <v>91</v>
      </c>
      <c r="O80" s="22" t="s">
        <v>152</v>
      </c>
      <c r="P80" s="26" t="n">
        <f aca="false">IF(G80="-",1,0)</f>
        <v>0</v>
      </c>
      <c r="Q80" s="26" t="n">
        <f aca="false">IF(N(K80)=0,1,0)</f>
        <v>0</v>
      </c>
      <c r="R80" s="26" t="n">
        <f aca="false">IF(AND(J80=TRUE(),N(K80)=0),1,0)</f>
        <v>0</v>
      </c>
      <c r="S80" s="26" t="n">
        <f aca="false">IF(OR(ISBLANK(M80),ISBLANK(N80),ISBLANK(O80)),1,0)</f>
        <v>0</v>
      </c>
      <c r="T80" s="26" t="n">
        <f aca="false">IF(AND(S80=1,OR(ISBLANK(L80),L80="-")),1,0)</f>
        <v>0</v>
      </c>
      <c r="U80" s="26" t="n">
        <f aca="false">IF(H80&lt;ReportDate,1,0)</f>
        <v>0</v>
      </c>
    </row>
    <row r="81" customFormat="false" ht="15" hidden="false" customHeight="false" outlineLevel="0" collapsed="false">
      <c r="A81" s="22" t="s">
        <v>402</v>
      </c>
      <c r="B81" s="22" t="s">
        <v>85</v>
      </c>
      <c r="C81" s="22" t="str">
        <f aca="false">VLOOKUP(B81,'Lookup Data'!$A$4:$B$20,2,FALSE())</f>
        <v>EMEA N</v>
      </c>
      <c r="D81" s="22" t="s">
        <v>403</v>
      </c>
      <c r="E81" s="22" t="s">
        <v>169</v>
      </c>
      <c r="F81" s="22" t="s">
        <v>51</v>
      </c>
      <c r="G81" s="22" t="s">
        <v>95</v>
      </c>
      <c r="H81" s="23" t="n">
        <v>45903</v>
      </c>
      <c r="I81" s="22" t="s">
        <v>45</v>
      </c>
      <c r="J81" s="24" t="b">
        <f aca="false">TRUE()</f>
        <v>1</v>
      </c>
      <c r="K81" s="25" t="n">
        <v>5820</v>
      </c>
      <c r="L81" s="22" t="s">
        <v>404</v>
      </c>
      <c r="M81" s="22" t="s">
        <v>405</v>
      </c>
      <c r="N81" s="22" t="s">
        <v>105</v>
      </c>
      <c r="O81" s="22" t="s">
        <v>92</v>
      </c>
      <c r="P81" s="26" t="n">
        <f aca="false">IF(G81="-",1,0)</f>
        <v>0</v>
      </c>
      <c r="Q81" s="26" t="n">
        <f aca="false">IF(N(K81)=0,1,0)</f>
        <v>0</v>
      </c>
      <c r="R81" s="26" t="n">
        <f aca="false">IF(AND(J81=TRUE(),N(K81)=0),1,0)</f>
        <v>0</v>
      </c>
      <c r="S81" s="26" t="n">
        <f aca="false">IF(OR(ISBLANK(M81),ISBLANK(N81),ISBLANK(O81)),1,0)</f>
        <v>0</v>
      </c>
      <c r="T81" s="26" t="n">
        <f aca="false">IF(AND(S81=1,OR(ISBLANK(L81),L81="-")),1,0)</f>
        <v>0</v>
      </c>
      <c r="U81" s="26" t="n">
        <f aca="false">IF(H81&lt;ReportDate,1,0)</f>
        <v>0</v>
      </c>
    </row>
    <row r="82" customFormat="false" ht="15" hidden="false" customHeight="false" outlineLevel="0" collapsed="false">
      <c r="A82" s="22" t="s">
        <v>406</v>
      </c>
      <c r="B82" s="22" t="s">
        <v>264</v>
      </c>
      <c r="C82" s="22" t="str">
        <f aca="false">VLOOKUP(B82,'Lookup Data'!$A$4:$B$20,2,FALSE())</f>
        <v>EMEA N</v>
      </c>
      <c r="D82" s="22" t="s">
        <v>321</v>
      </c>
      <c r="E82" s="22" t="s">
        <v>87</v>
      </c>
      <c r="F82" s="22" t="s">
        <v>52</v>
      </c>
      <c r="G82" s="22" t="s">
        <v>95</v>
      </c>
      <c r="H82" s="23" t="n">
        <v>45924</v>
      </c>
      <c r="I82" s="22" t="s">
        <v>45</v>
      </c>
      <c r="J82" s="24" t="b">
        <f aca="false">FALSE()</f>
        <v>0</v>
      </c>
      <c r="K82" s="25" t="n">
        <v>11010</v>
      </c>
      <c r="L82" s="22" t="s">
        <v>407</v>
      </c>
      <c r="M82" s="22" t="s">
        <v>408</v>
      </c>
      <c r="N82" s="22" t="s">
        <v>172</v>
      </c>
      <c r="O82" s="22" t="s">
        <v>92</v>
      </c>
      <c r="P82" s="26" t="n">
        <f aca="false">IF(G82="-",1,0)</f>
        <v>0</v>
      </c>
      <c r="Q82" s="26" t="n">
        <f aca="false">IF(N(K82)=0,1,0)</f>
        <v>0</v>
      </c>
      <c r="R82" s="26" t="n">
        <f aca="false">IF(AND(J82=TRUE(),N(K82)=0),1,0)</f>
        <v>0</v>
      </c>
      <c r="S82" s="26" t="n">
        <f aca="false">IF(OR(ISBLANK(M82),ISBLANK(N82),ISBLANK(O82)),1,0)</f>
        <v>0</v>
      </c>
      <c r="T82" s="26" t="n">
        <f aca="false">IF(AND(S82=1,OR(ISBLANK(L82),L82="-")),1,0)</f>
        <v>0</v>
      </c>
      <c r="U82" s="26" t="n">
        <f aca="false">IF(H82&lt;ReportDate,1,0)</f>
        <v>0</v>
      </c>
    </row>
    <row r="83" customFormat="false" ht="15" hidden="false" customHeight="false" outlineLevel="0" collapsed="false">
      <c r="A83" s="22" t="s">
        <v>409</v>
      </c>
      <c r="B83" s="22" t="s">
        <v>126</v>
      </c>
      <c r="C83" s="22" t="str">
        <f aca="false">VLOOKUP(B83,'Lookup Data'!$A$4:$B$20,2,FALSE())</f>
        <v>MEE</v>
      </c>
      <c r="D83" s="22" t="s">
        <v>410</v>
      </c>
      <c r="E83" s="22" t="s">
        <v>161</v>
      </c>
      <c r="F83" s="22" t="s">
        <v>51</v>
      </c>
      <c r="G83" s="22" t="s">
        <v>123</v>
      </c>
      <c r="H83" s="23" t="n">
        <v>45839</v>
      </c>
      <c r="I83" s="22" t="s">
        <v>45</v>
      </c>
      <c r="J83" s="24" t="b">
        <f aca="false">FALSE()</f>
        <v>0</v>
      </c>
      <c r="K83" s="25" t="n">
        <v>23910</v>
      </c>
      <c r="L83" s="22" t="s">
        <v>411</v>
      </c>
      <c r="M83" s="22"/>
      <c r="N83" s="22"/>
      <c r="O83" s="22" t="s">
        <v>131</v>
      </c>
      <c r="P83" s="26" t="n">
        <f aca="false">IF(G83="-",1,0)</f>
        <v>0</v>
      </c>
      <c r="Q83" s="26" t="n">
        <f aca="false">IF(N(K83)=0,1,0)</f>
        <v>0</v>
      </c>
      <c r="R83" s="26" t="n">
        <f aca="false">IF(AND(J83=TRUE(),N(K83)=0),1,0)</f>
        <v>0</v>
      </c>
      <c r="S83" s="26" t="n">
        <f aca="false">IF(OR(ISBLANK(M83),ISBLANK(N83),ISBLANK(O83)),1,0)</f>
        <v>1</v>
      </c>
      <c r="T83" s="26" t="n">
        <f aca="false">IF(AND(S83=1,OR(ISBLANK(L83),L83="-")),1,0)</f>
        <v>0</v>
      </c>
      <c r="U83" s="26" t="n">
        <f aca="false">IF(H83&lt;ReportDate,1,0)</f>
        <v>1</v>
      </c>
    </row>
    <row r="84" customFormat="false" ht="15" hidden="false" customHeight="false" outlineLevel="0" collapsed="false">
      <c r="A84" s="22" t="s">
        <v>412</v>
      </c>
      <c r="B84" s="22" t="s">
        <v>159</v>
      </c>
      <c r="C84" s="22" t="str">
        <f aca="false">VLOOKUP(B84,'Lookup Data'!$A$4:$B$20,2,FALSE())</f>
        <v>MEE</v>
      </c>
      <c r="D84" s="22" t="s">
        <v>413</v>
      </c>
      <c r="E84" s="22" t="s">
        <v>359</v>
      </c>
      <c r="F84" s="22" t="s">
        <v>55</v>
      </c>
      <c r="G84" s="22" t="s">
        <v>123</v>
      </c>
      <c r="H84" s="23" t="n">
        <v>45924</v>
      </c>
      <c r="I84" s="22" t="s">
        <v>45</v>
      </c>
      <c r="J84" s="24" t="b">
        <f aca="false">TRUE()</f>
        <v>1</v>
      </c>
      <c r="K84" s="25" t="n">
        <v>6430</v>
      </c>
      <c r="L84" s="22" t="s">
        <v>414</v>
      </c>
      <c r="M84" s="22"/>
      <c r="N84" s="22"/>
      <c r="O84" s="22" t="s">
        <v>131</v>
      </c>
      <c r="P84" s="26" t="n">
        <f aca="false">IF(G84="-",1,0)</f>
        <v>0</v>
      </c>
      <c r="Q84" s="26" t="n">
        <f aca="false">IF(N(K84)=0,1,0)</f>
        <v>0</v>
      </c>
      <c r="R84" s="26" t="n">
        <f aca="false">IF(AND(J84=TRUE(),N(K84)=0),1,0)</f>
        <v>0</v>
      </c>
      <c r="S84" s="26" t="n">
        <f aca="false">IF(OR(ISBLANK(M84),ISBLANK(N84),ISBLANK(O84)),1,0)</f>
        <v>1</v>
      </c>
      <c r="T84" s="26" t="n">
        <f aca="false">IF(AND(S84=1,OR(ISBLANK(L84),L84="-")),1,0)</f>
        <v>0</v>
      </c>
      <c r="U84" s="26" t="n">
        <f aca="false">IF(H84&lt;ReportDate,1,0)</f>
        <v>0</v>
      </c>
    </row>
    <row r="85" customFormat="false" ht="15" hidden="false" customHeight="false" outlineLevel="0" collapsed="false">
      <c r="A85" s="22" t="s">
        <v>415</v>
      </c>
      <c r="B85" s="22" t="s">
        <v>250</v>
      </c>
      <c r="C85" s="22" t="str">
        <f aca="false">VLOOKUP(B85,'Lookup Data'!$A$4:$B$20,2,FALSE())</f>
        <v>EMEA S</v>
      </c>
      <c r="D85" s="22" t="s">
        <v>416</v>
      </c>
      <c r="E85" s="22" t="s">
        <v>87</v>
      </c>
      <c r="F85" s="22" t="s">
        <v>52</v>
      </c>
      <c r="G85" s="22" t="s">
        <v>95</v>
      </c>
      <c r="H85" s="23" t="n">
        <v>45865</v>
      </c>
      <c r="I85" s="22" t="s">
        <v>45</v>
      </c>
      <c r="J85" s="24" t="b">
        <f aca="false">FALSE()</f>
        <v>0</v>
      </c>
      <c r="K85" s="25" t="n">
        <v>0</v>
      </c>
      <c r="L85" s="22" t="s">
        <v>417</v>
      </c>
      <c r="M85" s="22" t="s">
        <v>418</v>
      </c>
      <c r="N85" s="22" t="s">
        <v>113</v>
      </c>
      <c r="O85" s="22" t="s">
        <v>152</v>
      </c>
      <c r="P85" s="26" t="n">
        <f aca="false">IF(G85="-",1,0)</f>
        <v>0</v>
      </c>
      <c r="Q85" s="26" t="n">
        <f aca="false">IF(N(K85)=0,1,0)</f>
        <v>1</v>
      </c>
      <c r="R85" s="26" t="n">
        <f aca="false">IF(AND(J85=TRUE(),N(K85)=0),1,0)</f>
        <v>0</v>
      </c>
      <c r="S85" s="26" t="n">
        <f aca="false">IF(OR(ISBLANK(M85),ISBLANK(N85),ISBLANK(O85)),1,0)</f>
        <v>0</v>
      </c>
      <c r="T85" s="26" t="n">
        <f aca="false">IF(AND(S85=1,OR(ISBLANK(L85),L85="-")),1,0)</f>
        <v>0</v>
      </c>
      <c r="U85" s="26" t="n">
        <f aca="false">IF(H85&lt;ReportDate,1,0)</f>
        <v>0</v>
      </c>
    </row>
    <row r="86" customFormat="false" ht="15" hidden="false" customHeight="false" outlineLevel="0" collapsed="false">
      <c r="A86" s="22" t="s">
        <v>419</v>
      </c>
      <c r="B86" s="22" t="s">
        <v>108</v>
      </c>
      <c r="C86" s="22" t="str">
        <f aca="false">VLOOKUP(B86,'Lookup Data'!$A$4:$B$20,2,FALSE())</f>
        <v>NA</v>
      </c>
      <c r="D86" s="22" t="s">
        <v>233</v>
      </c>
      <c r="E86" s="22" t="s">
        <v>296</v>
      </c>
      <c r="F86" s="22" t="s">
        <v>51</v>
      </c>
      <c r="G86" s="22" t="s">
        <v>95</v>
      </c>
      <c r="H86" s="23" t="n">
        <v>45856</v>
      </c>
      <c r="I86" s="22" t="s">
        <v>45</v>
      </c>
      <c r="J86" s="24" t="b">
        <f aca="false">FALSE()</f>
        <v>0</v>
      </c>
      <c r="K86" s="25" t="n">
        <v>4520</v>
      </c>
      <c r="L86" s="22" t="s">
        <v>420</v>
      </c>
      <c r="M86" s="22" t="s">
        <v>421</v>
      </c>
      <c r="N86" s="22" t="s">
        <v>113</v>
      </c>
      <c r="O86" s="22" t="s">
        <v>106</v>
      </c>
      <c r="P86" s="26" t="n">
        <f aca="false">IF(G86="-",1,0)</f>
        <v>0</v>
      </c>
      <c r="Q86" s="26" t="n">
        <f aca="false">IF(N(K86)=0,1,0)</f>
        <v>0</v>
      </c>
      <c r="R86" s="26" t="n">
        <f aca="false">IF(AND(J86=TRUE(),N(K86)=0),1,0)</f>
        <v>0</v>
      </c>
      <c r="S86" s="26" t="n">
        <f aca="false">IF(OR(ISBLANK(M86),ISBLANK(N86),ISBLANK(O86)),1,0)</f>
        <v>0</v>
      </c>
      <c r="T86" s="26" t="n">
        <f aca="false">IF(AND(S86=1,OR(ISBLANK(L86),L86="-")),1,0)</f>
        <v>0</v>
      </c>
      <c r="U86" s="26" t="n">
        <f aca="false">IF(H86&lt;ReportDate,1,0)</f>
        <v>0</v>
      </c>
    </row>
    <row r="87" customFormat="false" ht="15" hidden="false" customHeight="false" outlineLevel="0" collapsed="false">
      <c r="A87" s="22" t="s">
        <v>422</v>
      </c>
      <c r="B87" s="22" t="s">
        <v>221</v>
      </c>
      <c r="C87" s="22" t="str">
        <f aca="false">VLOOKUP(B87,'Lookup Data'!$A$4:$B$20,2,FALSE())</f>
        <v>EMEA S</v>
      </c>
      <c r="D87" s="22" t="s">
        <v>86</v>
      </c>
      <c r="E87" s="22" t="s">
        <v>117</v>
      </c>
      <c r="F87" s="22" t="s">
        <v>52</v>
      </c>
      <c r="G87" s="22" t="s">
        <v>88</v>
      </c>
      <c r="H87" s="23" t="n">
        <v>45862</v>
      </c>
      <c r="I87" s="22" t="s">
        <v>45</v>
      </c>
      <c r="J87" s="24" t="b">
        <f aca="false">TRUE()</f>
        <v>1</v>
      </c>
      <c r="K87" s="25" t="n">
        <v>16270</v>
      </c>
      <c r="L87" s="22" t="s">
        <v>423</v>
      </c>
      <c r="M87" s="22" t="s">
        <v>424</v>
      </c>
      <c r="N87" s="22" t="s">
        <v>113</v>
      </c>
      <c r="O87" s="22" t="s">
        <v>152</v>
      </c>
      <c r="P87" s="26" t="n">
        <f aca="false">IF(G87="-",1,0)</f>
        <v>1</v>
      </c>
      <c r="Q87" s="26" t="n">
        <f aca="false">IF(N(K87)=0,1,0)</f>
        <v>0</v>
      </c>
      <c r="R87" s="26" t="n">
        <f aca="false">IF(AND(J87=TRUE(),N(K87)=0),1,0)</f>
        <v>0</v>
      </c>
      <c r="S87" s="26" t="n">
        <f aca="false">IF(OR(ISBLANK(M87),ISBLANK(N87),ISBLANK(O87)),1,0)</f>
        <v>0</v>
      </c>
      <c r="T87" s="26" t="n">
        <f aca="false">IF(AND(S87=1,OR(ISBLANK(L87),L87="-")),1,0)</f>
        <v>0</v>
      </c>
      <c r="U87" s="26" t="n">
        <f aca="false">IF(H87&lt;ReportDate,1,0)</f>
        <v>0</v>
      </c>
    </row>
    <row r="88" customFormat="false" ht="15" hidden="false" customHeight="false" outlineLevel="0" collapsed="false">
      <c r="A88" s="22" t="s">
        <v>425</v>
      </c>
      <c r="B88" s="22" t="s">
        <v>159</v>
      </c>
      <c r="C88" s="22" t="str">
        <f aca="false">VLOOKUP(B88,'Lookup Data'!$A$4:$B$20,2,FALSE())</f>
        <v>MEE</v>
      </c>
      <c r="D88" s="22" t="s">
        <v>426</v>
      </c>
      <c r="E88" s="22" t="s">
        <v>342</v>
      </c>
      <c r="F88" s="22" t="s">
        <v>51</v>
      </c>
      <c r="G88" s="22" t="s">
        <v>123</v>
      </c>
      <c r="H88" s="23" t="n">
        <v>45867</v>
      </c>
      <c r="I88" s="22" t="s">
        <v>45</v>
      </c>
      <c r="J88" s="24" t="b">
        <f aca="false">FALSE()</f>
        <v>0</v>
      </c>
      <c r="K88" s="25" t="n">
        <v>4910</v>
      </c>
      <c r="L88" s="22" t="s">
        <v>427</v>
      </c>
      <c r="M88" s="22"/>
      <c r="N88" s="22" t="s">
        <v>172</v>
      </c>
      <c r="O88" s="22" t="s">
        <v>131</v>
      </c>
      <c r="P88" s="26" t="n">
        <f aca="false">IF(G88="-",1,0)</f>
        <v>0</v>
      </c>
      <c r="Q88" s="26" t="n">
        <f aca="false">IF(N(K88)=0,1,0)</f>
        <v>0</v>
      </c>
      <c r="R88" s="26" t="n">
        <f aca="false">IF(AND(J88=TRUE(),N(K88)=0),1,0)</f>
        <v>0</v>
      </c>
      <c r="S88" s="26" t="n">
        <f aca="false">IF(OR(ISBLANK(M88),ISBLANK(N88),ISBLANK(O88)),1,0)</f>
        <v>1</v>
      </c>
      <c r="T88" s="26" t="n">
        <f aca="false">IF(AND(S88=1,OR(ISBLANK(L88),L88="-")),1,0)</f>
        <v>0</v>
      </c>
      <c r="U88" s="26" t="n">
        <f aca="false">IF(H88&lt;ReportDate,1,0)</f>
        <v>0</v>
      </c>
    </row>
    <row r="89" customFormat="false" ht="15" hidden="false" customHeight="false" outlineLevel="0" collapsed="false">
      <c r="A89" s="22" t="s">
        <v>428</v>
      </c>
      <c r="B89" s="22" t="s">
        <v>159</v>
      </c>
      <c r="C89" s="22" t="str">
        <f aca="false">VLOOKUP(B89,'Lookup Data'!$A$4:$B$20,2,FALSE())</f>
        <v>MEE</v>
      </c>
      <c r="D89" s="22" t="s">
        <v>429</v>
      </c>
      <c r="E89" s="22" t="s">
        <v>359</v>
      </c>
      <c r="F89" s="22" t="s">
        <v>53</v>
      </c>
      <c r="G89" s="22" t="s">
        <v>95</v>
      </c>
      <c r="H89" s="23" t="n">
        <v>45888</v>
      </c>
      <c r="I89" s="22" t="s">
        <v>45</v>
      </c>
      <c r="J89" s="24" t="b">
        <f aca="false">TRUE()</f>
        <v>1</v>
      </c>
      <c r="K89" s="25" t="n">
        <v>4010</v>
      </c>
      <c r="L89" s="22" t="s">
        <v>430</v>
      </c>
      <c r="M89" s="22" t="s">
        <v>431</v>
      </c>
      <c r="N89" s="22" t="s">
        <v>105</v>
      </c>
      <c r="O89" s="22" t="s">
        <v>131</v>
      </c>
      <c r="P89" s="26" t="n">
        <f aca="false">IF(G89="-",1,0)</f>
        <v>0</v>
      </c>
      <c r="Q89" s="26" t="n">
        <f aca="false">IF(N(K89)=0,1,0)</f>
        <v>0</v>
      </c>
      <c r="R89" s="26" t="n">
        <f aca="false">IF(AND(J89=TRUE(),N(K89)=0),1,0)</f>
        <v>0</v>
      </c>
      <c r="S89" s="26" t="n">
        <f aca="false">IF(OR(ISBLANK(M89),ISBLANK(N89),ISBLANK(O89)),1,0)</f>
        <v>0</v>
      </c>
      <c r="T89" s="26" t="n">
        <f aca="false">IF(AND(S89=1,OR(ISBLANK(L89),L89="-")),1,0)</f>
        <v>0</v>
      </c>
      <c r="U89" s="26" t="n">
        <f aca="false">IF(H89&lt;ReportDate,1,0)</f>
        <v>0</v>
      </c>
    </row>
    <row r="90" customFormat="false" ht="15" hidden="false" customHeight="false" outlineLevel="0" collapsed="false">
      <c r="A90" s="22" t="s">
        <v>432</v>
      </c>
      <c r="B90" s="22" t="s">
        <v>159</v>
      </c>
      <c r="C90" s="22" t="str">
        <f aca="false">VLOOKUP(B90,'Lookup Data'!$A$4:$B$20,2,FALSE())</f>
        <v>MEE</v>
      </c>
      <c r="D90" s="22" t="s">
        <v>433</v>
      </c>
      <c r="E90" s="22" t="s">
        <v>161</v>
      </c>
      <c r="F90" s="22" t="s">
        <v>54</v>
      </c>
      <c r="G90" s="22" t="s">
        <v>123</v>
      </c>
      <c r="H90" s="23" t="n">
        <v>45842</v>
      </c>
      <c r="I90" s="22" t="s">
        <v>45</v>
      </c>
      <c r="J90" s="24" t="b">
        <f aca="false">FALSE()</f>
        <v>0</v>
      </c>
      <c r="K90" s="25" t="n">
        <v>3720</v>
      </c>
      <c r="L90" s="22" t="s">
        <v>88</v>
      </c>
      <c r="M90" s="22"/>
      <c r="N90" s="22"/>
      <c r="O90" s="22" t="s">
        <v>131</v>
      </c>
      <c r="P90" s="26" t="n">
        <f aca="false">IF(G90="-",1,0)</f>
        <v>0</v>
      </c>
      <c r="Q90" s="26" t="n">
        <f aca="false">IF(N(K90)=0,1,0)</f>
        <v>0</v>
      </c>
      <c r="R90" s="26" t="n">
        <f aca="false">IF(AND(J90=TRUE(),N(K90)=0),1,0)</f>
        <v>0</v>
      </c>
      <c r="S90" s="26" t="n">
        <f aca="false">IF(OR(ISBLANK(M90),ISBLANK(N90),ISBLANK(O90)),1,0)</f>
        <v>1</v>
      </c>
      <c r="T90" s="26" t="n">
        <f aca="false">IF(AND(S90=1,OR(ISBLANK(L90),L90="-")),1,0)</f>
        <v>1</v>
      </c>
      <c r="U90" s="26" t="n">
        <f aca="false">IF(H90&lt;ReportDate,1,0)</f>
        <v>1</v>
      </c>
    </row>
    <row r="91" customFormat="false" ht="15" hidden="false" customHeight="false" outlineLevel="0" collapsed="false">
      <c r="A91" s="22" t="s">
        <v>434</v>
      </c>
      <c r="B91" s="22" t="s">
        <v>85</v>
      </c>
      <c r="C91" s="22" t="str">
        <f aca="false">VLOOKUP(B91,'Lookup Data'!$A$4:$B$20,2,FALSE())</f>
        <v>EMEA N</v>
      </c>
      <c r="D91" s="22" t="s">
        <v>435</v>
      </c>
      <c r="E91" s="22" t="s">
        <v>252</v>
      </c>
      <c r="F91" s="22" t="s">
        <v>55</v>
      </c>
      <c r="G91" s="22" t="s">
        <v>123</v>
      </c>
      <c r="H91" s="23" t="n">
        <v>46008</v>
      </c>
      <c r="I91" s="22" t="s">
        <v>102</v>
      </c>
      <c r="J91" s="24" t="b">
        <f aca="false">FALSE()</f>
        <v>0</v>
      </c>
      <c r="K91" s="25" t="n">
        <v>17750</v>
      </c>
      <c r="L91" s="22" t="s">
        <v>436</v>
      </c>
      <c r="M91" s="22" t="s">
        <v>437</v>
      </c>
      <c r="N91" s="22" t="s">
        <v>172</v>
      </c>
      <c r="O91" s="22" t="s">
        <v>92</v>
      </c>
      <c r="P91" s="26" t="n">
        <f aca="false">IF(G91="-",1,0)</f>
        <v>0</v>
      </c>
      <c r="Q91" s="26" t="n">
        <f aca="false">IF(N(K91)=0,1,0)</f>
        <v>0</v>
      </c>
      <c r="R91" s="26" t="n">
        <f aca="false">IF(AND(J91=TRUE(),N(K91)=0),1,0)</f>
        <v>0</v>
      </c>
      <c r="S91" s="26" t="n">
        <f aca="false">IF(OR(ISBLANK(M91),ISBLANK(N91),ISBLANK(O91)),1,0)</f>
        <v>0</v>
      </c>
      <c r="T91" s="26" t="n">
        <f aca="false">IF(AND(S91=1,OR(ISBLANK(L91),L91="-")),1,0)</f>
        <v>0</v>
      </c>
      <c r="U91" s="26" t="n">
        <f aca="false">IF(H91&lt;ReportDate,1,0)</f>
        <v>0</v>
      </c>
    </row>
    <row r="92" customFormat="false" ht="15" hidden="false" customHeight="false" outlineLevel="0" collapsed="false">
      <c r="A92" s="22" t="s">
        <v>438</v>
      </c>
      <c r="B92" s="22" t="s">
        <v>250</v>
      </c>
      <c r="C92" s="22" t="str">
        <f aca="false">VLOOKUP(B92,'Lookup Data'!$A$4:$B$20,2,FALSE())</f>
        <v>EMEA S</v>
      </c>
      <c r="D92" s="22" t="s">
        <v>439</v>
      </c>
      <c r="E92" s="22" t="s">
        <v>252</v>
      </c>
      <c r="F92" s="22" t="s">
        <v>52</v>
      </c>
      <c r="G92" s="22" t="s">
        <v>332</v>
      </c>
      <c r="H92" s="23" t="n">
        <v>45987</v>
      </c>
      <c r="I92" s="22" t="s">
        <v>102</v>
      </c>
      <c r="J92" s="24" t="b">
        <f aca="false">TRUE()</f>
        <v>1</v>
      </c>
      <c r="K92" s="25" t="n">
        <v>2490</v>
      </c>
      <c r="L92" s="22" t="s">
        <v>440</v>
      </c>
      <c r="M92" s="22" t="s">
        <v>441</v>
      </c>
      <c r="N92" s="22" t="s">
        <v>105</v>
      </c>
      <c r="O92" s="22" t="s">
        <v>152</v>
      </c>
      <c r="P92" s="26" t="n">
        <f aca="false">IF(G92="-",1,0)</f>
        <v>0</v>
      </c>
      <c r="Q92" s="26" t="n">
        <f aca="false">IF(N(K92)=0,1,0)</f>
        <v>0</v>
      </c>
      <c r="R92" s="26" t="n">
        <f aca="false">IF(AND(J92=TRUE(),N(K92)=0),1,0)</f>
        <v>0</v>
      </c>
      <c r="S92" s="26" t="n">
        <f aca="false">IF(OR(ISBLANK(M92),ISBLANK(N92),ISBLANK(O92)),1,0)</f>
        <v>0</v>
      </c>
      <c r="T92" s="26" t="n">
        <f aca="false">IF(AND(S92=1,OR(ISBLANK(L92),L92="-")),1,0)</f>
        <v>0</v>
      </c>
      <c r="U92" s="26" t="n">
        <f aca="false">IF(H92&lt;ReportDate,1,0)</f>
        <v>0</v>
      </c>
    </row>
    <row r="93" customFormat="false" ht="15" hidden="false" customHeight="false" outlineLevel="0" collapsed="false">
      <c r="A93" s="22" t="s">
        <v>442</v>
      </c>
      <c r="B93" s="22" t="s">
        <v>147</v>
      </c>
      <c r="C93" s="22" t="str">
        <f aca="false">VLOOKUP(B93,'Lookup Data'!$A$4:$B$20,2,FALSE())</f>
        <v>EMEA S</v>
      </c>
      <c r="D93" s="22" t="s">
        <v>237</v>
      </c>
      <c r="E93" s="22" t="s">
        <v>252</v>
      </c>
      <c r="F93" s="22" t="s">
        <v>51</v>
      </c>
      <c r="G93" s="22" t="s">
        <v>95</v>
      </c>
      <c r="H93" s="23" t="n">
        <v>45889</v>
      </c>
      <c r="I93" s="22" t="s">
        <v>45</v>
      </c>
      <c r="J93" s="24" t="b">
        <f aca="false">FALSE()</f>
        <v>0</v>
      </c>
      <c r="K93" s="25" t="n">
        <v>0</v>
      </c>
      <c r="L93" s="22" t="s">
        <v>443</v>
      </c>
      <c r="M93" s="22" t="s">
        <v>444</v>
      </c>
      <c r="N93" s="22" t="s">
        <v>105</v>
      </c>
      <c r="O93" s="22" t="s">
        <v>152</v>
      </c>
      <c r="P93" s="26" t="n">
        <f aca="false">IF(G93="-",1,0)</f>
        <v>0</v>
      </c>
      <c r="Q93" s="26" t="n">
        <f aca="false">IF(N(K93)=0,1,0)</f>
        <v>1</v>
      </c>
      <c r="R93" s="26" t="n">
        <f aca="false">IF(AND(J93=TRUE(),N(K93)=0),1,0)</f>
        <v>0</v>
      </c>
      <c r="S93" s="26" t="n">
        <f aca="false">IF(OR(ISBLANK(M93),ISBLANK(N93),ISBLANK(O93)),1,0)</f>
        <v>0</v>
      </c>
      <c r="T93" s="26" t="n">
        <f aca="false">IF(AND(S93=1,OR(ISBLANK(L93),L93="-")),1,0)</f>
        <v>0</v>
      </c>
      <c r="U93" s="26" t="n">
        <f aca="false">IF(H93&lt;ReportDate,1,0)</f>
        <v>0</v>
      </c>
    </row>
    <row r="94" customFormat="false" ht="15" hidden="false" customHeight="false" outlineLevel="0" collapsed="false">
      <c r="A94" s="22" t="s">
        <v>445</v>
      </c>
      <c r="B94" s="22" t="s">
        <v>366</v>
      </c>
      <c r="C94" s="22" t="str">
        <f aca="false">VLOOKUP(B94,'Lookup Data'!$A$4:$B$20,2,FALSE())</f>
        <v>GCN</v>
      </c>
      <c r="D94" s="22" t="s">
        <v>446</v>
      </c>
      <c r="E94" s="22" t="s">
        <v>278</v>
      </c>
      <c r="F94" s="22" t="s">
        <v>51</v>
      </c>
      <c r="G94" s="22" t="s">
        <v>88</v>
      </c>
      <c r="H94" s="23" t="n">
        <v>45965</v>
      </c>
      <c r="I94" s="22" t="s">
        <v>102</v>
      </c>
      <c r="J94" s="24" t="b">
        <f aca="false">FALSE()</f>
        <v>0</v>
      </c>
      <c r="K94" s="25" t="n">
        <v>14850</v>
      </c>
      <c r="L94" s="22" t="s">
        <v>447</v>
      </c>
      <c r="M94" s="22"/>
      <c r="N94" s="22" t="s">
        <v>113</v>
      </c>
      <c r="O94" s="22" t="s">
        <v>157</v>
      </c>
      <c r="P94" s="26" t="n">
        <f aca="false">IF(G94="-",1,0)</f>
        <v>1</v>
      </c>
      <c r="Q94" s="26" t="n">
        <f aca="false">IF(N(K94)=0,1,0)</f>
        <v>0</v>
      </c>
      <c r="R94" s="26" t="n">
        <f aca="false">IF(AND(J94=TRUE(),N(K94)=0),1,0)</f>
        <v>0</v>
      </c>
      <c r="S94" s="26" t="n">
        <f aca="false">IF(OR(ISBLANK(M94),ISBLANK(N94),ISBLANK(O94)),1,0)</f>
        <v>1</v>
      </c>
      <c r="T94" s="26" t="n">
        <f aca="false">IF(AND(S94=1,OR(ISBLANK(L94),L94="-")),1,0)</f>
        <v>0</v>
      </c>
      <c r="U94" s="26" t="n">
        <f aca="false">IF(H94&lt;ReportDate,1,0)</f>
        <v>0</v>
      </c>
    </row>
    <row r="95" customFormat="false" ht="15" hidden="false" customHeight="false" outlineLevel="0" collapsed="false">
      <c r="A95" s="22" t="s">
        <v>448</v>
      </c>
      <c r="B95" s="22" t="s">
        <v>250</v>
      </c>
      <c r="C95" s="22" t="str">
        <f aca="false">VLOOKUP(B95,'Lookup Data'!$A$4:$B$20,2,FALSE())</f>
        <v>EMEA S</v>
      </c>
      <c r="D95" s="22" t="s">
        <v>449</v>
      </c>
      <c r="E95" s="22" t="s">
        <v>252</v>
      </c>
      <c r="F95" s="22" t="s">
        <v>51</v>
      </c>
      <c r="G95" s="22" t="s">
        <v>95</v>
      </c>
      <c r="H95" s="23" t="n">
        <v>45915</v>
      </c>
      <c r="I95" s="22" t="s">
        <v>45</v>
      </c>
      <c r="J95" s="24" t="b">
        <f aca="false">FALSE()</f>
        <v>0</v>
      </c>
      <c r="K95" s="25" t="n">
        <v>18280</v>
      </c>
      <c r="L95" s="22" t="s">
        <v>450</v>
      </c>
      <c r="M95" s="22" t="s">
        <v>451</v>
      </c>
      <c r="N95" s="22" t="s">
        <v>105</v>
      </c>
      <c r="O95" s="22" t="s">
        <v>152</v>
      </c>
      <c r="P95" s="26" t="n">
        <f aca="false">IF(G95="-",1,0)</f>
        <v>0</v>
      </c>
      <c r="Q95" s="26" t="n">
        <f aca="false">IF(N(K95)=0,1,0)</f>
        <v>0</v>
      </c>
      <c r="R95" s="26" t="n">
        <f aca="false">IF(AND(J95=TRUE(),N(K95)=0),1,0)</f>
        <v>0</v>
      </c>
      <c r="S95" s="26" t="n">
        <f aca="false">IF(OR(ISBLANK(M95),ISBLANK(N95),ISBLANK(O95)),1,0)</f>
        <v>0</v>
      </c>
      <c r="T95" s="26" t="n">
        <f aca="false">IF(AND(S95=1,OR(ISBLANK(L95),L95="-")),1,0)</f>
        <v>0</v>
      </c>
      <c r="U95" s="26" t="n">
        <f aca="false">IF(H95&lt;ReportDate,1,0)</f>
        <v>0</v>
      </c>
    </row>
    <row r="96" customFormat="false" ht="15" hidden="false" customHeight="false" outlineLevel="0" collapsed="false">
      <c r="A96" s="22" t="s">
        <v>452</v>
      </c>
      <c r="B96" s="22" t="s">
        <v>221</v>
      </c>
      <c r="C96" s="22" t="str">
        <f aca="false">VLOOKUP(B96,'Lookup Data'!$A$4:$B$20,2,FALSE())</f>
        <v>EMEA S</v>
      </c>
      <c r="D96" s="22" t="s">
        <v>453</v>
      </c>
      <c r="E96" s="22" t="s">
        <v>87</v>
      </c>
      <c r="F96" s="22" t="s">
        <v>51</v>
      </c>
      <c r="G96" s="22" t="s">
        <v>123</v>
      </c>
      <c r="H96" s="23" t="n">
        <v>45956</v>
      </c>
      <c r="I96" s="22" t="s">
        <v>102</v>
      </c>
      <c r="J96" s="24" t="b">
        <f aca="false">FALSE()</f>
        <v>0</v>
      </c>
      <c r="K96" s="25" t="n">
        <v>18820</v>
      </c>
      <c r="L96" s="22" t="s">
        <v>454</v>
      </c>
      <c r="M96" s="22" t="s">
        <v>455</v>
      </c>
      <c r="N96" s="22" t="s">
        <v>105</v>
      </c>
      <c r="O96" s="22" t="s">
        <v>152</v>
      </c>
      <c r="P96" s="26" t="n">
        <f aca="false">IF(G96="-",1,0)</f>
        <v>0</v>
      </c>
      <c r="Q96" s="26" t="n">
        <f aca="false">IF(N(K96)=0,1,0)</f>
        <v>0</v>
      </c>
      <c r="R96" s="26" t="n">
        <f aca="false">IF(AND(J96=TRUE(),N(K96)=0),1,0)</f>
        <v>0</v>
      </c>
      <c r="S96" s="26" t="n">
        <f aca="false">IF(OR(ISBLANK(M96),ISBLANK(N96),ISBLANK(O96)),1,0)</f>
        <v>0</v>
      </c>
      <c r="T96" s="26" t="n">
        <f aca="false">IF(AND(S96=1,OR(ISBLANK(L96),L96="-")),1,0)</f>
        <v>0</v>
      </c>
      <c r="U96" s="26" t="n">
        <f aca="false">IF(H96&lt;ReportDate,1,0)</f>
        <v>0</v>
      </c>
    </row>
    <row r="97" customFormat="false" ht="15" hidden="false" customHeight="false" outlineLevel="0" collapsed="false">
      <c r="A97" s="22" t="s">
        <v>456</v>
      </c>
      <c r="B97" s="22" t="s">
        <v>366</v>
      </c>
      <c r="C97" s="22" t="str">
        <f aca="false">VLOOKUP(B97,'Lookup Data'!$A$4:$B$20,2,FALSE())</f>
        <v>GCN</v>
      </c>
      <c r="D97" s="22" t="s">
        <v>363</v>
      </c>
      <c r="E97" s="22" t="s">
        <v>190</v>
      </c>
      <c r="F97" s="22" t="s">
        <v>51</v>
      </c>
      <c r="G97" s="22" t="s">
        <v>95</v>
      </c>
      <c r="H97" s="23" t="n">
        <v>45885</v>
      </c>
      <c r="I97" s="22" t="s">
        <v>45</v>
      </c>
      <c r="J97" s="24" t="b">
        <f aca="false">FALSE()</f>
        <v>0</v>
      </c>
      <c r="K97" s="25" t="n">
        <v>15510</v>
      </c>
      <c r="L97" s="22" t="s">
        <v>457</v>
      </c>
      <c r="M97" s="22"/>
      <c r="N97" s="22" t="s">
        <v>105</v>
      </c>
      <c r="O97" s="22" t="s">
        <v>157</v>
      </c>
      <c r="P97" s="26" t="n">
        <f aca="false">IF(G97="-",1,0)</f>
        <v>0</v>
      </c>
      <c r="Q97" s="26" t="n">
        <f aca="false">IF(N(K97)=0,1,0)</f>
        <v>0</v>
      </c>
      <c r="R97" s="26" t="n">
        <f aca="false">IF(AND(J97=TRUE(),N(K97)=0),1,0)</f>
        <v>0</v>
      </c>
      <c r="S97" s="26" t="n">
        <f aca="false">IF(OR(ISBLANK(M97),ISBLANK(N97),ISBLANK(O97)),1,0)</f>
        <v>1</v>
      </c>
      <c r="T97" s="26" t="n">
        <f aca="false">IF(AND(S97=1,OR(ISBLANK(L97),L97="-")),1,0)</f>
        <v>0</v>
      </c>
      <c r="U97" s="26" t="n">
        <f aca="false">IF(H97&lt;ReportDate,1,0)</f>
        <v>0</v>
      </c>
    </row>
    <row r="98" customFormat="false" ht="15" hidden="false" customHeight="false" outlineLevel="0" collapsed="false">
      <c r="A98" s="22" t="s">
        <v>458</v>
      </c>
      <c r="B98" s="22" t="s">
        <v>99</v>
      </c>
      <c r="C98" s="22" t="str">
        <f aca="false">VLOOKUP(B98,'Lookup Data'!$A$4:$B$20,2,FALSE())</f>
        <v>NA</v>
      </c>
      <c r="D98" s="22" t="s">
        <v>459</v>
      </c>
      <c r="E98" s="22" t="s">
        <v>101</v>
      </c>
      <c r="F98" s="22" t="s">
        <v>53</v>
      </c>
      <c r="G98" s="22" t="s">
        <v>123</v>
      </c>
      <c r="H98" s="23" t="n">
        <v>45887</v>
      </c>
      <c r="I98" s="22" t="s">
        <v>45</v>
      </c>
      <c r="J98" s="24" t="b">
        <f aca="false">TRUE()</f>
        <v>1</v>
      </c>
      <c r="K98" s="25" t="n">
        <v>16250</v>
      </c>
      <c r="L98" s="22" t="s">
        <v>460</v>
      </c>
      <c r="M98" s="22" t="s">
        <v>461</v>
      </c>
      <c r="N98" s="22" t="s">
        <v>91</v>
      </c>
      <c r="O98" s="22" t="s">
        <v>106</v>
      </c>
      <c r="P98" s="26" t="n">
        <f aca="false">IF(G98="-",1,0)</f>
        <v>0</v>
      </c>
      <c r="Q98" s="26" t="n">
        <f aca="false">IF(N(K98)=0,1,0)</f>
        <v>0</v>
      </c>
      <c r="R98" s="26" t="n">
        <f aca="false">IF(AND(J98=TRUE(),N(K98)=0),1,0)</f>
        <v>0</v>
      </c>
      <c r="S98" s="26" t="n">
        <f aca="false">IF(OR(ISBLANK(M98),ISBLANK(N98),ISBLANK(O98)),1,0)</f>
        <v>0</v>
      </c>
      <c r="T98" s="26" t="n">
        <f aca="false">IF(AND(S98=1,OR(ISBLANK(L98),L98="-")),1,0)</f>
        <v>0</v>
      </c>
      <c r="U98" s="26" t="n">
        <f aca="false">IF(H98&lt;ReportDate,1,0)</f>
        <v>0</v>
      </c>
    </row>
    <row r="99" customFormat="false" ht="15" hidden="false" customHeight="false" outlineLevel="0" collapsed="false">
      <c r="A99" s="22" t="s">
        <v>462</v>
      </c>
      <c r="B99" s="22" t="s">
        <v>126</v>
      </c>
      <c r="C99" s="22" t="str">
        <f aca="false">VLOOKUP(B99,'Lookup Data'!$A$4:$B$20,2,FALSE())</f>
        <v>MEE</v>
      </c>
      <c r="D99" s="22" t="s">
        <v>463</v>
      </c>
      <c r="E99" s="22" t="s">
        <v>359</v>
      </c>
      <c r="F99" s="22" t="s">
        <v>53</v>
      </c>
      <c r="G99" s="22" t="s">
        <v>95</v>
      </c>
      <c r="H99" s="23" t="n">
        <v>45980</v>
      </c>
      <c r="I99" s="22" t="s">
        <v>102</v>
      </c>
      <c r="J99" s="24" t="b">
        <f aca="false">FALSE()</f>
        <v>0</v>
      </c>
      <c r="K99" s="25" t="n">
        <v>16430</v>
      </c>
      <c r="L99" s="22" t="s">
        <v>464</v>
      </c>
      <c r="M99" s="22"/>
      <c r="N99" s="22"/>
      <c r="O99" s="22" t="s">
        <v>131</v>
      </c>
      <c r="P99" s="26" t="n">
        <f aca="false">IF(G99="-",1,0)</f>
        <v>0</v>
      </c>
      <c r="Q99" s="26" t="n">
        <f aca="false">IF(N(K99)=0,1,0)</f>
        <v>0</v>
      </c>
      <c r="R99" s="26" t="n">
        <f aca="false">IF(AND(J99=TRUE(),N(K99)=0),1,0)</f>
        <v>0</v>
      </c>
      <c r="S99" s="26" t="n">
        <f aca="false">IF(OR(ISBLANK(M99),ISBLANK(N99),ISBLANK(O99)),1,0)</f>
        <v>1</v>
      </c>
      <c r="T99" s="26" t="n">
        <f aca="false">IF(AND(S99=1,OR(ISBLANK(L99),L99="-")),1,0)</f>
        <v>0</v>
      </c>
      <c r="U99" s="26" t="n">
        <f aca="false">IF(H99&lt;ReportDate,1,0)</f>
        <v>0</v>
      </c>
    </row>
    <row r="100" customFormat="false" ht="15" hidden="false" customHeight="false" outlineLevel="0" collapsed="false">
      <c r="A100" s="22" t="s">
        <v>465</v>
      </c>
      <c r="B100" s="22" t="s">
        <v>264</v>
      </c>
      <c r="C100" s="22" t="str">
        <f aca="false">VLOOKUP(B100,'Lookup Data'!$A$4:$B$20,2,FALSE())</f>
        <v>EMEA N</v>
      </c>
      <c r="D100" s="22" t="s">
        <v>466</v>
      </c>
      <c r="E100" s="22" t="s">
        <v>169</v>
      </c>
      <c r="F100" s="22" t="s">
        <v>53</v>
      </c>
      <c r="G100" s="22" t="s">
        <v>123</v>
      </c>
      <c r="H100" s="23" t="n">
        <v>45887</v>
      </c>
      <c r="I100" s="22" t="s">
        <v>45</v>
      </c>
      <c r="J100" s="24" t="b">
        <f aca="false">FALSE()</f>
        <v>0</v>
      </c>
      <c r="K100" s="25" t="n">
        <v>0</v>
      </c>
      <c r="L100" s="22" t="s">
        <v>467</v>
      </c>
      <c r="M100" s="22" t="s">
        <v>468</v>
      </c>
      <c r="N100" s="22" t="s">
        <v>105</v>
      </c>
      <c r="O100" s="22" t="s">
        <v>92</v>
      </c>
      <c r="P100" s="26" t="n">
        <f aca="false">IF(G100="-",1,0)</f>
        <v>0</v>
      </c>
      <c r="Q100" s="26" t="n">
        <f aca="false">IF(N(K100)=0,1,0)</f>
        <v>1</v>
      </c>
      <c r="R100" s="26" t="n">
        <f aca="false">IF(AND(J100=TRUE(),N(K100)=0),1,0)</f>
        <v>0</v>
      </c>
      <c r="S100" s="26" t="n">
        <f aca="false">IF(OR(ISBLANK(M100),ISBLANK(N100),ISBLANK(O100)),1,0)</f>
        <v>0</v>
      </c>
      <c r="T100" s="26" t="n">
        <f aca="false">IF(AND(S100=1,OR(ISBLANK(L100),L100="-")),1,0)</f>
        <v>0</v>
      </c>
      <c r="U100" s="26" t="n">
        <f aca="false">IF(H100&lt;ReportDate,1,0)</f>
        <v>0</v>
      </c>
    </row>
    <row r="101" customFormat="false" ht="15" hidden="false" customHeight="false" outlineLevel="0" collapsed="false">
      <c r="A101" s="22" t="s">
        <v>469</v>
      </c>
      <c r="B101" s="22" t="s">
        <v>264</v>
      </c>
      <c r="C101" s="22" t="str">
        <f aca="false">VLOOKUP(B101,'Lookup Data'!$A$4:$B$20,2,FALSE())</f>
        <v>EMEA N</v>
      </c>
      <c r="D101" s="22" t="s">
        <v>470</v>
      </c>
      <c r="E101" s="22" t="s">
        <v>252</v>
      </c>
      <c r="F101" s="22" t="s">
        <v>54</v>
      </c>
      <c r="G101" s="22" t="s">
        <v>95</v>
      </c>
      <c r="H101" s="23" t="n">
        <v>45867</v>
      </c>
      <c r="I101" s="22" t="s">
        <v>45</v>
      </c>
      <c r="J101" s="24" t="b">
        <f aca="false">FALSE()</f>
        <v>0</v>
      </c>
      <c r="K101" s="25" t="n">
        <v>10680</v>
      </c>
      <c r="L101" s="22" t="s">
        <v>471</v>
      </c>
      <c r="M101" s="22" t="s">
        <v>472</v>
      </c>
      <c r="N101" s="22" t="s">
        <v>172</v>
      </c>
      <c r="O101" s="22" t="s">
        <v>92</v>
      </c>
      <c r="P101" s="26" t="n">
        <f aca="false">IF(G101="-",1,0)</f>
        <v>0</v>
      </c>
      <c r="Q101" s="26" t="n">
        <f aca="false">IF(N(K101)=0,1,0)</f>
        <v>0</v>
      </c>
      <c r="R101" s="26" t="n">
        <f aca="false">IF(AND(J101=TRUE(),N(K101)=0),1,0)</f>
        <v>0</v>
      </c>
      <c r="S101" s="26" t="n">
        <f aca="false">IF(OR(ISBLANK(M101),ISBLANK(N101),ISBLANK(O101)),1,0)</f>
        <v>0</v>
      </c>
      <c r="T101" s="26" t="n">
        <f aca="false">IF(AND(S101=1,OR(ISBLANK(L101),L101="-")),1,0)</f>
        <v>0</v>
      </c>
      <c r="U101" s="26" t="n">
        <f aca="false">IF(H101&lt;ReportDate,1,0)</f>
        <v>0</v>
      </c>
    </row>
    <row r="102" customFormat="false" ht="15" hidden="false" customHeight="false" outlineLevel="0" collapsed="false">
      <c r="A102" s="22" t="s">
        <v>473</v>
      </c>
      <c r="B102" s="22" t="s">
        <v>264</v>
      </c>
      <c r="C102" s="22" t="str">
        <f aca="false">VLOOKUP(B102,'Lookup Data'!$A$4:$B$20,2,FALSE())</f>
        <v>EMEA N</v>
      </c>
      <c r="D102" s="22" t="s">
        <v>474</v>
      </c>
      <c r="E102" s="22" t="s">
        <v>350</v>
      </c>
      <c r="F102" s="22" t="s">
        <v>51</v>
      </c>
      <c r="G102" s="22" t="s">
        <v>95</v>
      </c>
      <c r="H102" s="23" t="n">
        <v>45854</v>
      </c>
      <c r="I102" s="22" t="s">
        <v>45</v>
      </c>
      <c r="J102" s="24" t="b">
        <f aca="false">TRUE()</f>
        <v>1</v>
      </c>
      <c r="K102" s="25" t="n">
        <v>3290</v>
      </c>
      <c r="L102" s="22" t="s">
        <v>475</v>
      </c>
      <c r="M102" s="22" t="s">
        <v>476</v>
      </c>
      <c r="N102" s="22" t="s">
        <v>91</v>
      </c>
      <c r="O102" s="22" t="s">
        <v>92</v>
      </c>
      <c r="P102" s="26" t="n">
        <f aca="false">IF(G102="-",1,0)</f>
        <v>0</v>
      </c>
      <c r="Q102" s="26" t="n">
        <f aca="false">IF(N(K102)=0,1,0)</f>
        <v>0</v>
      </c>
      <c r="R102" s="26" t="n">
        <f aca="false">IF(AND(J102=TRUE(),N(K102)=0),1,0)</f>
        <v>0</v>
      </c>
      <c r="S102" s="26" t="n">
        <f aca="false">IF(OR(ISBLANK(M102),ISBLANK(N102),ISBLANK(O102)),1,0)</f>
        <v>0</v>
      </c>
      <c r="T102" s="26" t="n">
        <f aca="false">IF(AND(S102=1,OR(ISBLANK(L102),L102="-")),1,0)</f>
        <v>0</v>
      </c>
      <c r="U102" s="26" t="n">
        <f aca="false">IF(H102&lt;ReportDate,1,0)</f>
        <v>0</v>
      </c>
    </row>
    <row r="103" customFormat="false" ht="15" hidden="false" customHeight="false" outlineLevel="0" collapsed="false">
      <c r="A103" s="22" t="s">
        <v>477</v>
      </c>
      <c r="B103" s="22" t="s">
        <v>99</v>
      </c>
      <c r="C103" s="22" t="str">
        <f aca="false">VLOOKUP(B103,'Lookup Data'!$A$4:$B$20,2,FALSE())</f>
        <v>NA</v>
      </c>
      <c r="D103" s="22" t="s">
        <v>403</v>
      </c>
      <c r="E103" s="22" t="s">
        <v>314</v>
      </c>
      <c r="F103" s="22" t="s">
        <v>52</v>
      </c>
      <c r="G103" s="22" t="s">
        <v>123</v>
      </c>
      <c r="H103" s="23" t="n">
        <v>45847</v>
      </c>
      <c r="I103" s="22" t="s">
        <v>45</v>
      </c>
      <c r="J103" s="24" t="b">
        <f aca="false">TRUE()</f>
        <v>1</v>
      </c>
      <c r="K103" s="25" t="n">
        <v>1700</v>
      </c>
      <c r="L103" s="22" t="s">
        <v>478</v>
      </c>
      <c r="M103" s="22" t="s">
        <v>479</v>
      </c>
      <c r="N103" s="22" t="s">
        <v>91</v>
      </c>
      <c r="O103" s="22" t="s">
        <v>106</v>
      </c>
      <c r="P103" s="26" t="n">
        <f aca="false">IF(G103="-",1,0)</f>
        <v>0</v>
      </c>
      <c r="Q103" s="26" t="n">
        <f aca="false">IF(N(K103)=0,1,0)</f>
        <v>0</v>
      </c>
      <c r="R103" s="26" t="n">
        <f aca="false">IF(AND(J103=TRUE(),N(K103)=0),1,0)</f>
        <v>0</v>
      </c>
      <c r="S103" s="26" t="n">
        <f aca="false">IF(OR(ISBLANK(M103),ISBLANK(N103),ISBLANK(O103)),1,0)</f>
        <v>0</v>
      </c>
      <c r="T103" s="26" t="n">
        <f aca="false">IF(AND(S103=1,OR(ISBLANK(L103),L103="-")),1,0)</f>
        <v>0</v>
      </c>
      <c r="U103" s="26" t="n">
        <f aca="false">IF(H103&lt;ReportDate,1,0)</f>
        <v>0</v>
      </c>
    </row>
    <row r="104" customFormat="false" ht="15" hidden="false" customHeight="false" outlineLevel="0" collapsed="false">
      <c r="A104" s="22" t="s">
        <v>480</v>
      </c>
      <c r="B104" s="22" t="s">
        <v>108</v>
      </c>
      <c r="C104" s="22" t="str">
        <f aca="false">VLOOKUP(B104,'Lookup Data'!$A$4:$B$20,2,FALSE())</f>
        <v>NA</v>
      </c>
      <c r="D104" s="22" t="s">
        <v>481</v>
      </c>
      <c r="E104" s="22" t="s">
        <v>296</v>
      </c>
      <c r="F104" s="22" t="s">
        <v>53</v>
      </c>
      <c r="G104" s="22" t="s">
        <v>123</v>
      </c>
      <c r="H104" s="23" t="n">
        <v>45850</v>
      </c>
      <c r="I104" s="22" t="s">
        <v>45</v>
      </c>
      <c r="J104" s="24" t="b">
        <f aca="false">TRUE()</f>
        <v>1</v>
      </c>
      <c r="K104" s="25" t="n">
        <v>22920</v>
      </c>
      <c r="L104" s="22" t="s">
        <v>88</v>
      </c>
      <c r="M104" s="22"/>
      <c r="N104" s="22"/>
      <c r="O104" s="22" t="s">
        <v>106</v>
      </c>
      <c r="P104" s="26" t="n">
        <f aca="false">IF(G104="-",1,0)</f>
        <v>0</v>
      </c>
      <c r="Q104" s="26" t="n">
        <f aca="false">IF(N(K104)=0,1,0)</f>
        <v>0</v>
      </c>
      <c r="R104" s="26" t="n">
        <f aca="false">IF(AND(J104=TRUE(),N(K104)=0),1,0)</f>
        <v>0</v>
      </c>
      <c r="S104" s="26" t="n">
        <f aca="false">IF(OR(ISBLANK(M104),ISBLANK(N104),ISBLANK(O104)),1,0)</f>
        <v>1</v>
      </c>
      <c r="T104" s="26" t="n">
        <f aca="false">IF(AND(S104=1,OR(ISBLANK(L104),L104="-")),1,0)</f>
        <v>1</v>
      </c>
      <c r="U104" s="26" t="n">
        <f aca="false">IF(H104&lt;ReportDate,1,0)</f>
        <v>0</v>
      </c>
    </row>
    <row r="105" customFormat="false" ht="15" hidden="false" customHeight="false" outlineLevel="0" collapsed="false">
      <c r="A105" s="22" t="s">
        <v>482</v>
      </c>
      <c r="B105" s="22" t="s">
        <v>115</v>
      </c>
      <c r="C105" s="22" t="str">
        <f aca="false">VLOOKUP(B105,'Lookup Data'!$A$4:$B$20,2,FALSE())</f>
        <v>EMEA N</v>
      </c>
      <c r="D105" s="22" t="s">
        <v>483</v>
      </c>
      <c r="E105" s="22" t="s">
        <v>87</v>
      </c>
      <c r="F105" s="22" t="s">
        <v>52</v>
      </c>
      <c r="G105" s="22" t="s">
        <v>123</v>
      </c>
      <c r="H105" s="23" t="n">
        <v>45892</v>
      </c>
      <c r="I105" s="22" t="s">
        <v>45</v>
      </c>
      <c r="J105" s="24" t="b">
        <f aca="false">TRUE()</f>
        <v>1</v>
      </c>
      <c r="K105" s="25" t="n">
        <v>24100</v>
      </c>
      <c r="L105" s="22" t="s">
        <v>484</v>
      </c>
      <c r="M105" s="22" t="s">
        <v>485</v>
      </c>
      <c r="N105" s="22" t="s">
        <v>91</v>
      </c>
      <c r="O105" s="22" t="s">
        <v>92</v>
      </c>
      <c r="P105" s="26" t="n">
        <f aca="false">IF(G105="-",1,0)</f>
        <v>0</v>
      </c>
      <c r="Q105" s="26" t="n">
        <f aca="false">IF(N(K105)=0,1,0)</f>
        <v>0</v>
      </c>
      <c r="R105" s="26" t="n">
        <f aca="false">IF(AND(J105=TRUE(),N(K105)=0),1,0)</f>
        <v>0</v>
      </c>
      <c r="S105" s="26" t="n">
        <f aca="false">IF(OR(ISBLANK(M105),ISBLANK(N105),ISBLANK(O105)),1,0)</f>
        <v>0</v>
      </c>
      <c r="T105" s="26" t="n">
        <f aca="false">IF(AND(S105=1,OR(ISBLANK(L105),L105="-")),1,0)</f>
        <v>0</v>
      </c>
      <c r="U105" s="26" t="n">
        <f aca="false">IF(H105&lt;ReportDate,1,0)</f>
        <v>0</v>
      </c>
    </row>
    <row r="106" customFormat="false" ht="15" hidden="false" customHeight="false" outlineLevel="0" collapsed="false">
      <c r="A106" s="22" t="s">
        <v>486</v>
      </c>
      <c r="B106" s="22" t="s">
        <v>241</v>
      </c>
      <c r="C106" s="22" t="str">
        <f aca="false">VLOOKUP(B106,'Lookup Data'!$A$4:$B$20,2,FALSE())</f>
        <v>LATAM</v>
      </c>
      <c r="D106" s="22" t="s">
        <v>487</v>
      </c>
      <c r="E106" s="22" t="s">
        <v>143</v>
      </c>
      <c r="F106" s="22" t="s">
        <v>52</v>
      </c>
      <c r="G106" s="22" t="s">
        <v>123</v>
      </c>
      <c r="H106" s="23" t="n">
        <v>45848</v>
      </c>
      <c r="I106" s="22" t="s">
        <v>45</v>
      </c>
      <c r="J106" s="24" t="b">
        <f aca="false">FALSE()</f>
        <v>0</v>
      </c>
      <c r="K106" s="25" t="n">
        <v>14710</v>
      </c>
      <c r="L106" s="22" t="s">
        <v>488</v>
      </c>
      <c r="M106" s="22"/>
      <c r="N106" s="22" t="s">
        <v>91</v>
      </c>
      <c r="O106" s="22" t="s">
        <v>145</v>
      </c>
      <c r="P106" s="26" t="n">
        <f aca="false">IF(G106="-",1,0)</f>
        <v>0</v>
      </c>
      <c r="Q106" s="26" t="n">
        <f aca="false">IF(N(K106)=0,1,0)</f>
        <v>0</v>
      </c>
      <c r="R106" s="26" t="n">
        <f aca="false">IF(AND(J106=TRUE(),N(K106)=0),1,0)</f>
        <v>0</v>
      </c>
      <c r="S106" s="26" t="n">
        <f aca="false">IF(OR(ISBLANK(M106),ISBLANK(N106),ISBLANK(O106)),1,0)</f>
        <v>1</v>
      </c>
      <c r="T106" s="26" t="n">
        <f aca="false">IF(AND(S106=1,OR(ISBLANK(L106),L106="-")),1,0)</f>
        <v>0</v>
      </c>
      <c r="U106" s="26" t="n">
        <f aca="false">IF(H106&lt;ReportDate,1,0)</f>
        <v>0</v>
      </c>
    </row>
    <row r="107" customFormat="false" ht="15" hidden="false" customHeight="false" outlineLevel="0" collapsed="false">
      <c r="A107" s="22" t="s">
        <v>489</v>
      </c>
      <c r="B107" s="22" t="s">
        <v>154</v>
      </c>
      <c r="C107" s="22" t="str">
        <f aca="false">VLOOKUP(B107,'Lookup Data'!$A$4:$B$20,2,FALSE())</f>
        <v>GCN</v>
      </c>
      <c r="D107" s="22" t="s">
        <v>490</v>
      </c>
      <c r="E107" s="22" t="s">
        <v>190</v>
      </c>
      <c r="F107" s="22" t="s">
        <v>54</v>
      </c>
      <c r="G107" s="22" t="s">
        <v>123</v>
      </c>
      <c r="H107" s="23" t="n">
        <v>45885</v>
      </c>
      <c r="I107" s="22" t="s">
        <v>45</v>
      </c>
      <c r="J107" s="24" t="b">
        <f aca="false">TRUE()</f>
        <v>1</v>
      </c>
      <c r="K107" s="25" t="n">
        <v>4970</v>
      </c>
      <c r="L107" s="22" t="s">
        <v>491</v>
      </c>
      <c r="M107" s="22"/>
      <c r="N107" s="22"/>
      <c r="O107" s="22" t="s">
        <v>157</v>
      </c>
      <c r="P107" s="26" t="n">
        <f aca="false">IF(G107="-",1,0)</f>
        <v>0</v>
      </c>
      <c r="Q107" s="26" t="n">
        <f aca="false">IF(N(K107)=0,1,0)</f>
        <v>0</v>
      </c>
      <c r="R107" s="26" t="n">
        <f aca="false">IF(AND(J107=TRUE(),N(K107)=0),1,0)</f>
        <v>0</v>
      </c>
      <c r="S107" s="26" t="n">
        <f aca="false">IF(OR(ISBLANK(M107),ISBLANK(N107),ISBLANK(O107)),1,0)</f>
        <v>1</v>
      </c>
      <c r="T107" s="26" t="n">
        <f aca="false">IF(AND(S107=1,OR(ISBLANK(L107),L107="-")),1,0)</f>
        <v>0</v>
      </c>
      <c r="U107" s="26" t="n">
        <f aca="false">IF(H107&lt;ReportDate,1,0)</f>
        <v>0</v>
      </c>
    </row>
    <row r="108" customFormat="false" ht="15" hidden="false" customHeight="false" outlineLevel="0" collapsed="false">
      <c r="A108" s="22" t="s">
        <v>492</v>
      </c>
      <c r="B108" s="22" t="s">
        <v>147</v>
      </c>
      <c r="C108" s="22" t="str">
        <f aca="false">VLOOKUP(B108,'Lookup Data'!$A$4:$B$20,2,FALSE())</f>
        <v>EMEA S</v>
      </c>
      <c r="D108" s="22" t="s">
        <v>493</v>
      </c>
      <c r="E108" s="22" t="s">
        <v>252</v>
      </c>
      <c r="F108" s="22" t="s">
        <v>51</v>
      </c>
      <c r="G108" s="22" t="s">
        <v>123</v>
      </c>
      <c r="H108" s="23" t="n">
        <v>45880</v>
      </c>
      <c r="I108" s="22" t="s">
        <v>45</v>
      </c>
      <c r="J108" s="24" t="b">
        <f aca="false">FALSE()</f>
        <v>0</v>
      </c>
      <c r="K108" s="25" t="n">
        <v>4500</v>
      </c>
      <c r="L108" s="22" t="s">
        <v>494</v>
      </c>
      <c r="M108" s="22" t="s">
        <v>495</v>
      </c>
      <c r="N108" s="22" t="s">
        <v>113</v>
      </c>
      <c r="O108" s="22" t="s">
        <v>152</v>
      </c>
      <c r="P108" s="26" t="n">
        <f aca="false">IF(G108="-",1,0)</f>
        <v>0</v>
      </c>
      <c r="Q108" s="26" t="n">
        <f aca="false">IF(N(K108)=0,1,0)</f>
        <v>0</v>
      </c>
      <c r="R108" s="26" t="n">
        <f aca="false">IF(AND(J108=TRUE(),N(K108)=0),1,0)</f>
        <v>0</v>
      </c>
      <c r="S108" s="26" t="n">
        <f aca="false">IF(OR(ISBLANK(M108),ISBLANK(N108),ISBLANK(O108)),1,0)</f>
        <v>0</v>
      </c>
      <c r="T108" s="26" t="n">
        <f aca="false">IF(AND(S108=1,OR(ISBLANK(L108),L108="-")),1,0)</f>
        <v>0</v>
      </c>
      <c r="U108" s="26" t="n">
        <f aca="false">IF(H108&lt;ReportDate,1,0)</f>
        <v>0</v>
      </c>
    </row>
    <row r="109" customFormat="false" ht="15" hidden="false" customHeight="false" outlineLevel="0" collapsed="false">
      <c r="A109" s="22" t="s">
        <v>496</v>
      </c>
      <c r="B109" s="22" t="s">
        <v>99</v>
      </c>
      <c r="C109" s="22" t="str">
        <f aca="false">VLOOKUP(B109,'Lookup Data'!$A$4:$B$20,2,FALSE())</f>
        <v>NA</v>
      </c>
      <c r="D109" s="22" t="s">
        <v>280</v>
      </c>
      <c r="E109" s="22" t="s">
        <v>110</v>
      </c>
      <c r="F109" s="22" t="s">
        <v>54</v>
      </c>
      <c r="G109" s="22" t="s">
        <v>123</v>
      </c>
      <c r="H109" s="23" t="n">
        <v>45874</v>
      </c>
      <c r="I109" s="22" t="s">
        <v>45</v>
      </c>
      <c r="J109" s="24" t="b">
        <f aca="false">FALSE()</f>
        <v>0</v>
      </c>
      <c r="K109" s="25" t="n">
        <v>19300</v>
      </c>
      <c r="L109" s="22" t="s">
        <v>88</v>
      </c>
      <c r="M109" s="22"/>
      <c r="N109" s="22"/>
      <c r="O109" s="22" t="s">
        <v>106</v>
      </c>
      <c r="P109" s="26" t="n">
        <f aca="false">IF(G109="-",1,0)</f>
        <v>0</v>
      </c>
      <c r="Q109" s="26" t="n">
        <f aca="false">IF(N(K109)=0,1,0)</f>
        <v>0</v>
      </c>
      <c r="R109" s="26" t="n">
        <f aca="false">IF(AND(J109=TRUE(),N(K109)=0),1,0)</f>
        <v>0</v>
      </c>
      <c r="S109" s="26" t="n">
        <f aca="false">IF(OR(ISBLANK(M109),ISBLANK(N109),ISBLANK(O109)),1,0)</f>
        <v>1</v>
      </c>
      <c r="T109" s="26" t="n">
        <f aca="false">IF(AND(S109=1,OR(ISBLANK(L109),L109="-")),1,0)</f>
        <v>1</v>
      </c>
      <c r="U109" s="26" t="n">
        <f aca="false">IF(H109&lt;ReportDate,1,0)</f>
        <v>0</v>
      </c>
    </row>
    <row r="110" customFormat="false" ht="15" hidden="false" customHeight="false" outlineLevel="0" collapsed="false">
      <c r="A110" s="22" t="s">
        <v>497</v>
      </c>
      <c r="B110" s="22" t="s">
        <v>126</v>
      </c>
      <c r="C110" s="22" t="str">
        <f aca="false">VLOOKUP(B110,'Lookup Data'!$A$4:$B$20,2,FALSE())</f>
        <v>MEE</v>
      </c>
      <c r="D110" s="22" t="s">
        <v>498</v>
      </c>
      <c r="E110" s="22" t="s">
        <v>359</v>
      </c>
      <c r="F110" s="22" t="s">
        <v>53</v>
      </c>
      <c r="G110" s="22" t="s">
        <v>88</v>
      </c>
      <c r="H110" s="23" t="n">
        <v>45840</v>
      </c>
      <c r="I110" s="22" t="s">
        <v>102</v>
      </c>
      <c r="J110" s="24" t="b">
        <f aca="false">FALSE()</f>
        <v>0</v>
      </c>
      <c r="K110" s="25" t="n">
        <v>24360</v>
      </c>
      <c r="L110" s="22" t="s">
        <v>88</v>
      </c>
      <c r="M110" s="22"/>
      <c r="N110" s="22"/>
      <c r="O110" s="22" t="s">
        <v>131</v>
      </c>
      <c r="P110" s="26" t="n">
        <f aca="false">IF(G110="-",1,0)</f>
        <v>1</v>
      </c>
      <c r="Q110" s="26" t="n">
        <f aca="false">IF(N(K110)=0,1,0)</f>
        <v>0</v>
      </c>
      <c r="R110" s="26" t="n">
        <f aca="false">IF(AND(J110=TRUE(),N(K110)=0),1,0)</f>
        <v>0</v>
      </c>
      <c r="S110" s="26" t="n">
        <f aca="false">IF(OR(ISBLANK(M110),ISBLANK(N110),ISBLANK(O110)),1,0)</f>
        <v>1</v>
      </c>
      <c r="T110" s="26" t="n">
        <f aca="false">IF(AND(S110=1,OR(ISBLANK(L110),L110="-")),1,0)</f>
        <v>1</v>
      </c>
      <c r="U110" s="26" t="n">
        <f aca="false">IF(H110&lt;ReportDate,1,0)</f>
        <v>1</v>
      </c>
    </row>
    <row r="111" customFormat="false" ht="15" hidden="false" customHeight="false" outlineLevel="0" collapsed="false">
      <c r="A111" s="22" t="s">
        <v>499</v>
      </c>
      <c r="B111" s="22" t="s">
        <v>264</v>
      </c>
      <c r="C111" s="22" t="str">
        <f aca="false">VLOOKUP(B111,'Lookup Data'!$A$4:$B$20,2,FALSE())</f>
        <v>EMEA N</v>
      </c>
      <c r="D111" s="22" t="s">
        <v>500</v>
      </c>
      <c r="E111" s="22" t="s">
        <v>149</v>
      </c>
      <c r="F111" s="22" t="s">
        <v>53</v>
      </c>
      <c r="G111" s="22" t="s">
        <v>123</v>
      </c>
      <c r="H111" s="23" t="n">
        <v>45863</v>
      </c>
      <c r="I111" s="22" t="s">
        <v>45</v>
      </c>
      <c r="J111" s="24" t="b">
        <f aca="false">TRUE()</f>
        <v>1</v>
      </c>
      <c r="K111" s="25" t="n">
        <v>16950</v>
      </c>
      <c r="L111" s="22" t="s">
        <v>501</v>
      </c>
      <c r="M111" s="22" t="s">
        <v>502</v>
      </c>
      <c r="N111" s="22" t="s">
        <v>113</v>
      </c>
      <c r="O111" s="22" t="s">
        <v>92</v>
      </c>
      <c r="P111" s="26" t="n">
        <f aca="false">IF(G111="-",1,0)</f>
        <v>0</v>
      </c>
      <c r="Q111" s="26" t="n">
        <f aca="false">IF(N(K111)=0,1,0)</f>
        <v>0</v>
      </c>
      <c r="R111" s="26" t="n">
        <f aca="false">IF(AND(J111=TRUE(),N(K111)=0),1,0)</f>
        <v>0</v>
      </c>
      <c r="S111" s="26" t="n">
        <f aca="false">IF(OR(ISBLANK(M111),ISBLANK(N111),ISBLANK(O111)),1,0)</f>
        <v>0</v>
      </c>
      <c r="T111" s="26" t="n">
        <f aca="false">IF(AND(S111=1,OR(ISBLANK(L111),L111="-")),1,0)</f>
        <v>0</v>
      </c>
      <c r="U111" s="26" t="n">
        <f aca="false">IF(H111&lt;ReportDate,1,0)</f>
        <v>0</v>
      </c>
    </row>
    <row r="112" customFormat="false" ht="15" hidden="false" customHeight="false" outlineLevel="0" collapsed="false">
      <c r="A112" s="22" t="s">
        <v>503</v>
      </c>
      <c r="B112" s="22" t="s">
        <v>208</v>
      </c>
      <c r="C112" s="22" t="str">
        <f aca="false">VLOOKUP(B112,'Lookup Data'!$A$4:$B$20,2,FALSE())</f>
        <v>APJ</v>
      </c>
      <c r="D112" s="22" t="s">
        <v>426</v>
      </c>
      <c r="E112" s="22" t="s">
        <v>504</v>
      </c>
      <c r="F112" s="22" t="s">
        <v>51</v>
      </c>
      <c r="G112" s="22" t="s">
        <v>123</v>
      </c>
      <c r="H112" s="23" t="n">
        <v>45879</v>
      </c>
      <c r="I112" s="22" t="s">
        <v>45</v>
      </c>
      <c r="J112" s="24" t="b">
        <f aca="false">FALSE()</f>
        <v>0</v>
      </c>
      <c r="K112" s="25" t="n">
        <v>19940</v>
      </c>
      <c r="L112" s="22" t="s">
        <v>505</v>
      </c>
      <c r="M112" s="22" t="s">
        <v>506</v>
      </c>
      <c r="N112" s="22" t="s">
        <v>113</v>
      </c>
      <c r="O112" s="22" t="s">
        <v>212</v>
      </c>
      <c r="P112" s="26" t="n">
        <f aca="false">IF(G112="-",1,0)</f>
        <v>0</v>
      </c>
      <c r="Q112" s="26" t="n">
        <f aca="false">IF(N(K112)=0,1,0)</f>
        <v>0</v>
      </c>
      <c r="R112" s="26" t="n">
        <f aca="false">IF(AND(J112=TRUE(),N(K112)=0),1,0)</f>
        <v>0</v>
      </c>
      <c r="S112" s="26" t="n">
        <f aca="false">IF(OR(ISBLANK(M112),ISBLANK(N112),ISBLANK(O112)),1,0)</f>
        <v>0</v>
      </c>
      <c r="T112" s="26" t="n">
        <f aca="false">IF(AND(S112=1,OR(ISBLANK(L112),L112="-")),1,0)</f>
        <v>0</v>
      </c>
      <c r="U112" s="26" t="n">
        <f aca="false">IF(H112&lt;ReportDate,1,0)</f>
        <v>0</v>
      </c>
    </row>
    <row r="113" customFormat="false" ht="15" hidden="false" customHeight="false" outlineLevel="0" collapsed="false">
      <c r="A113" s="22" t="s">
        <v>507</v>
      </c>
      <c r="B113" s="22" t="s">
        <v>264</v>
      </c>
      <c r="C113" s="22" t="str">
        <f aca="false">VLOOKUP(B113,'Lookup Data'!$A$4:$B$20,2,FALSE())</f>
        <v>EMEA N</v>
      </c>
      <c r="D113" s="22" t="s">
        <v>259</v>
      </c>
      <c r="E113" s="22" t="s">
        <v>117</v>
      </c>
      <c r="F113" s="22" t="s">
        <v>51</v>
      </c>
      <c r="G113" s="22" t="s">
        <v>95</v>
      </c>
      <c r="H113" s="23" t="n">
        <v>45855</v>
      </c>
      <c r="I113" s="22" t="s">
        <v>45</v>
      </c>
      <c r="J113" s="24" t="b">
        <f aca="false">TRUE()</f>
        <v>1</v>
      </c>
      <c r="K113" s="25" t="n">
        <v>23500</v>
      </c>
      <c r="L113" s="22" t="s">
        <v>508</v>
      </c>
      <c r="M113" s="22" t="s">
        <v>509</v>
      </c>
      <c r="N113" s="22" t="s">
        <v>91</v>
      </c>
      <c r="O113" s="22" t="s">
        <v>92</v>
      </c>
      <c r="P113" s="26" t="n">
        <f aca="false">IF(G113="-",1,0)</f>
        <v>0</v>
      </c>
      <c r="Q113" s="26" t="n">
        <f aca="false">IF(N(K113)=0,1,0)</f>
        <v>0</v>
      </c>
      <c r="R113" s="26" t="n">
        <f aca="false">IF(AND(J113=TRUE(),N(K113)=0),1,0)</f>
        <v>0</v>
      </c>
      <c r="S113" s="26" t="n">
        <f aca="false">IF(OR(ISBLANK(M113),ISBLANK(N113),ISBLANK(O113)),1,0)</f>
        <v>0</v>
      </c>
      <c r="T113" s="26" t="n">
        <f aca="false">IF(AND(S113=1,OR(ISBLANK(L113),L113="-")),1,0)</f>
        <v>0</v>
      </c>
      <c r="U113" s="26" t="n">
        <f aca="false">IF(H113&lt;ReportDate,1,0)</f>
        <v>0</v>
      </c>
    </row>
    <row r="114" customFormat="false" ht="15" hidden="false" customHeight="false" outlineLevel="0" collapsed="false">
      <c r="A114" s="22" t="s">
        <v>510</v>
      </c>
      <c r="B114" s="22" t="s">
        <v>264</v>
      </c>
      <c r="C114" s="22" t="str">
        <f aca="false">VLOOKUP(B114,'Lookup Data'!$A$4:$B$20,2,FALSE())</f>
        <v>EMEA N</v>
      </c>
      <c r="D114" s="22" t="s">
        <v>121</v>
      </c>
      <c r="E114" s="22" t="s">
        <v>149</v>
      </c>
      <c r="F114" s="22" t="s">
        <v>54</v>
      </c>
      <c r="G114" s="22" t="s">
        <v>95</v>
      </c>
      <c r="H114" s="23" t="n">
        <v>45904</v>
      </c>
      <c r="I114" s="22" t="s">
        <v>45</v>
      </c>
      <c r="J114" s="24" t="b">
        <f aca="false">FALSE()</f>
        <v>0</v>
      </c>
      <c r="K114" s="25" t="n">
        <v>5750</v>
      </c>
      <c r="L114" s="22" t="s">
        <v>511</v>
      </c>
      <c r="M114" s="22" t="s">
        <v>512</v>
      </c>
      <c r="N114" s="22" t="s">
        <v>172</v>
      </c>
      <c r="O114" s="22" t="s">
        <v>92</v>
      </c>
      <c r="P114" s="26" t="n">
        <f aca="false">IF(G114="-",1,0)</f>
        <v>0</v>
      </c>
      <c r="Q114" s="26" t="n">
        <f aca="false">IF(N(K114)=0,1,0)</f>
        <v>0</v>
      </c>
      <c r="R114" s="26" t="n">
        <f aca="false">IF(AND(J114=TRUE(),N(K114)=0),1,0)</f>
        <v>0</v>
      </c>
      <c r="S114" s="26" t="n">
        <f aca="false">IF(OR(ISBLANK(M114),ISBLANK(N114),ISBLANK(O114)),1,0)</f>
        <v>0</v>
      </c>
      <c r="T114" s="26" t="n">
        <f aca="false">IF(AND(S114=1,OR(ISBLANK(L114),L114="-")),1,0)</f>
        <v>0</v>
      </c>
      <c r="U114" s="26" t="n">
        <f aca="false">IF(H114&lt;ReportDate,1,0)</f>
        <v>0</v>
      </c>
    </row>
    <row r="115" customFormat="false" ht="15" hidden="false" customHeight="false" outlineLevel="0" collapsed="false">
      <c r="A115" s="22" t="s">
        <v>513</v>
      </c>
      <c r="B115" s="22" t="s">
        <v>108</v>
      </c>
      <c r="C115" s="22" t="str">
        <f aca="false">VLOOKUP(B115,'Lookup Data'!$A$4:$B$20,2,FALSE())</f>
        <v>NA</v>
      </c>
      <c r="D115" s="22" t="s">
        <v>354</v>
      </c>
      <c r="E115" s="22" t="s">
        <v>122</v>
      </c>
      <c r="F115" s="22" t="s">
        <v>54</v>
      </c>
      <c r="G115" s="22" t="s">
        <v>332</v>
      </c>
      <c r="H115" s="23" t="n">
        <v>45847</v>
      </c>
      <c r="I115" s="22" t="s">
        <v>45</v>
      </c>
      <c r="J115" s="24" t="b">
        <f aca="false">FALSE()</f>
        <v>0</v>
      </c>
      <c r="K115" s="25" t="n">
        <v>18330</v>
      </c>
      <c r="L115" s="22" t="s">
        <v>88</v>
      </c>
      <c r="M115" s="22"/>
      <c r="N115" s="22" t="s">
        <v>105</v>
      </c>
      <c r="O115" s="22" t="s">
        <v>106</v>
      </c>
      <c r="P115" s="26" t="n">
        <f aca="false">IF(G115="-",1,0)</f>
        <v>0</v>
      </c>
      <c r="Q115" s="26" t="n">
        <f aca="false">IF(N(K115)=0,1,0)</f>
        <v>0</v>
      </c>
      <c r="R115" s="26" t="n">
        <f aca="false">IF(AND(J115=TRUE(),N(K115)=0),1,0)</f>
        <v>0</v>
      </c>
      <c r="S115" s="26" t="n">
        <f aca="false">IF(OR(ISBLANK(M115),ISBLANK(N115),ISBLANK(O115)),1,0)</f>
        <v>1</v>
      </c>
      <c r="T115" s="26" t="n">
        <f aca="false">IF(AND(S115=1,OR(ISBLANK(L115),L115="-")),1,0)</f>
        <v>1</v>
      </c>
      <c r="U115" s="26" t="n">
        <f aca="false">IF(H115&lt;ReportDate,1,0)</f>
        <v>0</v>
      </c>
    </row>
    <row r="116" customFormat="false" ht="15" hidden="false" customHeight="false" outlineLevel="0" collapsed="false">
      <c r="A116" s="22" t="s">
        <v>514</v>
      </c>
      <c r="B116" s="22" t="s">
        <v>108</v>
      </c>
      <c r="C116" s="22" t="str">
        <f aca="false">VLOOKUP(B116,'Lookup Data'!$A$4:$B$20,2,FALSE())</f>
        <v>NA</v>
      </c>
      <c r="D116" s="22" t="s">
        <v>222</v>
      </c>
      <c r="E116" s="22" t="s">
        <v>110</v>
      </c>
      <c r="F116" s="22" t="s">
        <v>51</v>
      </c>
      <c r="G116" s="22" t="s">
        <v>88</v>
      </c>
      <c r="H116" s="23" t="n">
        <v>45867</v>
      </c>
      <c r="I116" s="22" t="s">
        <v>45</v>
      </c>
      <c r="J116" s="24" t="b">
        <f aca="false">TRUE()</f>
        <v>1</v>
      </c>
      <c r="K116" s="25" t="n">
        <v>7020</v>
      </c>
      <c r="L116" s="22" t="s">
        <v>515</v>
      </c>
      <c r="M116" s="22" t="s">
        <v>516</v>
      </c>
      <c r="N116" s="22" t="s">
        <v>105</v>
      </c>
      <c r="O116" s="22" t="s">
        <v>106</v>
      </c>
      <c r="P116" s="26" t="n">
        <f aca="false">IF(G116="-",1,0)</f>
        <v>1</v>
      </c>
      <c r="Q116" s="26" t="n">
        <f aca="false">IF(N(K116)=0,1,0)</f>
        <v>0</v>
      </c>
      <c r="R116" s="26" t="n">
        <f aca="false">IF(AND(J116=TRUE(),N(K116)=0),1,0)</f>
        <v>0</v>
      </c>
      <c r="S116" s="26" t="n">
        <f aca="false">IF(OR(ISBLANK(M116),ISBLANK(N116),ISBLANK(O116)),1,0)</f>
        <v>0</v>
      </c>
      <c r="T116" s="26" t="n">
        <f aca="false">IF(AND(S116=1,OR(ISBLANK(L116),L116="-")),1,0)</f>
        <v>0</v>
      </c>
      <c r="U116" s="26" t="n">
        <f aca="false">IF(H116&lt;ReportDate,1,0)</f>
        <v>0</v>
      </c>
    </row>
    <row r="117" customFormat="false" ht="15" hidden="false" customHeight="false" outlineLevel="0" collapsed="false">
      <c r="A117" s="22" t="s">
        <v>517</v>
      </c>
      <c r="B117" s="22" t="s">
        <v>258</v>
      </c>
      <c r="C117" s="22" t="str">
        <f aca="false">VLOOKUP(B117,'Lookup Data'!$A$4:$B$20,2,FALSE())</f>
        <v>APJ</v>
      </c>
      <c r="D117" s="22" t="s">
        <v>518</v>
      </c>
      <c r="E117" s="22" t="s">
        <v>504</v>
      </c>
      <c r="F117" s="22" t="s">
        <v>51</v>
      </c>
      <c r="G117" s="22" t="s">
        <v>95</v>
      </c>
      <c r="H117" s="23" t="n">
        <v>45905</v>
      </c>
      <c r="I117" s="22" t="s">
        <v>45</v>
      </c>
      <c r="J117" s="24" t="b">
        <f aca="false">FALSE()</f>
        <v>0</v>
      </c>
      <c r="K117" s="25" t="n">
        <v>6860</v>
      </c>
      <c r="L117" s="22" t="s">
        <v>519</v>
      </c>
      <c r="M117" s="22" t="s">
        <v>444</v>
      </c>
      <c r="N117" s="22" t="s">
        <v>172</v>
      </c>
      <c r="O117" s="22" t="s">
        <v>212</v>
      </c>
      <c r="P117" s="26" t="n">
        <f aca="false">IF(G117="-",1,0)</f>
        <v>0</v>
      </c>
      <c r="Q117" s="26" t="n">
        <f aca="false">IF(N(K117)=0,1,0)</f>
        <v>0</v>
      </c>
      <c r="R117" s="26" t="n">
        <f aca="false">IF(AND(J117=TRUE(),N(K117)=0),1,0)</f>
        <v>0</v>
      </c>
      <c r="S117" s="26" t="n">
        <f aca="false">IF(OR(ISBLANK(M117),ISBLANK(N117),ISBLANK(O117)),1,0)</f>
        <v>0</v>
      </c>
      <c r="T117" s="26" t="n">
        <f aca="false">IF(AND(S117=1,OR(ISBLANK(L117),L117="-")),1,0)</f>
        <v>0</v>
      </c>
      <c r="U117" s="26" t="n">
        <f aca="false">IF(H117&lt;ReportDate,1,0)</f>
        <v>0</v>
      </c>
    </row>
    <row r="118" customFormat="false" ht="15" hidden="false" customHeight="false" outlineLevel="0" collapsed="false">
      <c r="A118" s="22" t="s">
        <v>520</v>
      </c>
      <c r="B118" s="22" t="s">
        <v>115</v>
      </c>
      <c r="C118" s="22" t="str">
        <f aca="false">VLOOKUP(B118,'Lookup Data'!$A$4:$B$20,2,FALSE())</f>
        <v>EMEA N</v>
      </c>
      <c r="D118" s="22" t="s">
        <v>229</v>
      </c>
      <c r="E118" s="22" t="s">
        <v>87</v>
      </c>
      <c r="F118" s="22" t="s">
        <v>51</v>
      </c>
      <c r="G118" s="22" t="s">
        <v>123</v>
      </c>
      <c r="H118" s="23" t="n">
        <v>45988</v>
      </c>
      <c r="I118" s="22" t="s">
        <v>102</v>
      </c>
      <c r="J118" s="24" t="b">
        <f aca="false">FALSE()</f>
        <v>0</v>
      </c>
      <c r="K118" s="25" t="n">
        <v>16720</v>
      </c>
      <c r="L118" s="22" t="s">
        <v>521</v>
      </c>
      <c r="M118" s="22" t="s">
        <v>522</v>
      </c>
      <c r="N118" s="22" t="s">
        <v>91</v>
      </c>
      <c r="O118" s="22" t="s">
        <v>92</v>
      </c>
      <c r="P118" s="26" t="n">
        <f aca="false">IF(G118="-",1,0)</f>
        <v>0</v>
      </c>
      <c r="Q118" s="26" t="n">
        <f aca="false">IF(N(K118)=0,1,0)</f>
        <v>0</v>
      </c>
      <c r="R118" s="26" t="n">
        <f aca="false">IF(AND(J118=TRUE(),N(K118)=0),1,0)</f>
        <v>0</v>
      </c>
      <c r="S118" s="26" t="n">
        <f aca="false">IF(OR(ISBLANK(M118),ISBLANK(N118),ISBLANK(O118)),1,0)</f>
        <v>0</v>
      </c>
      <c r="T118" s="26" t="n">
        <f aca="false">IF(AND(S118=1,OR(ISBLANK(L118),L118="-")),1,0)</f>
        <v>0</v>
      </c>
      <c r="U118" s="26" t="n">
        <f aca="false">IF(H118&lt;ReportDate,1,0)</f>
        <v>0</v>
      </c>
    </row>
    <row r="119" customFormat="false" ht="15" hidden="false" customHeight="false" outlineLevel="0" collapsed="false">
      <c r="A119" s="22" t="s">
        <v>523</v>
      </c>
      <c r="B119" s="22" t="s">
        <v>264</v>
      </c>
      <c r="C119" s="22" t="str">
        <f aca="false">VLOOKUP(B119,'Lookup Data'!$A$4:$B$20,2,FALSE())</f>
        <v>EMEA N</v>
      </c>
      <c r="D119" s="22" t="s">
        <v>524</v>
      </c>
      <c r="E119" s="22" t="s">
        <v>117</v>
      </c>
      <c r="F119" s="22" t="s">
        <v>51</v>
      </c>
      <c r="G119" s="22" t="s">
        <v>95</v>
      </c>
      <c r="H119" s="23" t="n">
        <v>45867</v>
      </c>
      <c r="I119" s="22" t="s">
        <v>45</v>
      </c>
      <c r="J119" s="24" t="b">
        <f aca="false">FALSE()</f>
        <v>0</v>
      </c>
      <c r="K119" s="25" t="n">
        <v>7990</v>
      </c>
      <c r="L119" s="22" t="s">
        <v>525</v>
      </c>
      <c r="M119" s="22" t="s">
        <v>485</v>
      </c>
      <c r="N119" s="22" t="s">
        <v>91</v>
      </c>
      <c r="O119" s="22" t="s">
        <v>92</v>
      </c>
      <c r="P119" s="26" t="n">
        <f aca="false">IF(G119="-",1,0)</f>
        <v>0</v>
      </c>
      <c r="Q119" s="26" t="n">
        <f aca="false">IF(N(K119)=0,1,0)</f>
        <v>0</v>
      </c>
      <c r="R119" s="26" t="n">
        <f aca="false">IF(AND(J119=TRUE(),N(K119)=0),1,0)</f>
        <v>0</v>
      </c>
      <c r="S119" s="26" t="n">
        <f aca="false">IF(OR(ISBLANK(M119),ISBLANK(N119),ISBLANK(O119)),1,0)</f>
        <v>0</v>
      </c>
      <c r="T119" s="26" t="n">
        <f aca="false">IF(AND(S119=1,OR(ISBLANK(L119),L119="-")),1,0)</f>
        <v>0</v>
      </c>
      <c r="U119" s="26" t="n">
        <f aca="false">IF(H119&lt;ReportDate,1,0)</f>
        <v>0</v>
      </c>
    </row>
    <row r="120" customFormat="false" ht="15" hidden="false" customHeight="false" outlineLevel="0" collapsed="false">
      <c r="A120" s="22" t="s">
        <v>526</v>
      </c>
      <c r="B120" s="22" t="s">
        <v>99</v>
      </c>
      <c r="C120" s="22" t="str">
        <f aca="false">VLOOKUP(B120,'Lookup Data'!$A$4:$B$20,2,FALSE())</f>
        <v>NA</v>
      </c>
      <c r="D120" s="22" t="s">
        <v>242</v>
      </c>
      <c r="E120" s="22" t="s">
        <v>314</v>
      </c>
      <c r="F120" s="22" t="s">
        <v>51</v>
      </c>
      <c r="G120" s="22" t="s">
        <v>123</v>
      </c>
      <c r="H120" s="23" t="n">
        <v>46011</v>
      </c>
      <c r="I120" s="22" t="s">
        <v>102</v>
      </c>
      <c r="J120" s="24" t="b">
        <f aca="false">TRUE()</f>
        <v>1</v>
      </c>
      <c r="K120" s="25" t="n">
        <v>22110</v>
      </c>
      <c r="L120" s="22" t="s">
        <v>527</v>
      </c>
      <c r="M120" s="22" t="s">
        <v>468</v>
      </c>
      <c r="N120" s="22" t="s">
        <v>172</v>
      </c>
      <c r="O120" s="22" t="s">
        <v>106</v>
      </c>
      <c r="P120" s="26" t="n">
        <f aca="false">IF(G120="-",1,0)</f>
        <v>0</v>
      </c>
      <c r="Q120" s="26" t="n">
        <f aca="false">IF(N(K120)=0,1,0)</f>
        <v>0</v>
      </c>
      <c r="R120" s="26" t="n">
        <f aca="false">IF(AND(J120=TRUE(),N(K120)=0),1,0)</f>
        <v>0</v>
      </c>
      <c r="S120" s="26" t="n">
        <f aca="false">IF(OR(ISBLANK(M120),ISBLANK(N120),ISBLANK(O120)),1,0)</f>
        <v>0</v>
      </c>
      <c r="T120" s="26" t="n">
        <f aca="false">IF(AND(S120=1,OR(ISBLANK(L120),L120="-")),1,0)</f>
        <v>0</v>
      </c>
      <c r="U120" s="26" t="n">
        <f aca="false">IF(H120&lt;ReportDate,1,0)</f>
        <v>0</v>
      </c>
    </row>
    <row r="121" customFormat="false" ht="15" hidden="false" customHeight="false" outlineLevel="0" collapsed="false">
      <c r="A121" s="22" t="s">
        <v>528</v>
      </c>
      <c r="B121" s="22" t="s">
        <v>147</v>
      </c>
      <c r="C121" s="22" t="str">
        <f aca="false">VLOOKUP(B121,'Lookup Data'!$A$4:$B$20,2,FALSE())</f>
        <v>EMEA S</v>
      </c>
      <c r="D121" s="22" t="s">
        <v>529</v>
      </c>
      <c r="E121" s="22" t="s">
        <v>87</v>
      </c>
      <c r="F121" s="22" t="s">
        <v>52</v>
      </c>
      <c r="G121" s="22" t="s">
        <v>123</v>
      </c>
      <c r="H121" s="23" t="n">
        <v>45925</v>
      </c>
      <c r="I121" s="22" t="s">
        <v>45</v>
      </c>
      <c r="J121" s="24" t="b">
        <f aca="false">TRUE()</f>
        <v>1</v>
      </c>
      <c r="K121" s="25" t="n">
        <v>9730</v>
      </c>
      <c r="L121" s="22" t="s">
        <v>530</v>
      </c>
      <c r="M121" s="22" t="s">
        <v>531</v>
      </c>
      <c r="N121" s="22" t="s">
        <v>113</v>
      </c>
      <c r="O121" s="22" t="s">
        <v>152</v>
      </c>
      <c r="P121" s="26" t="n">
        <f aca="false">IF(G121="-",1,0)</f>
        <v>0</v>
      </c>
      <c r="Q121" s="26" t="n">
        <f aca="false">IF(N(K121)=0,1,0)</f>
        <v>0</v>
      </c>
      <c r="R121" s="26" t="n">
        <f aca="false">IF(AND(J121=TRUE(),N(K121)=0),1,0)</f>
        <v>0</v>
      </c>
      <c r="S121" s="26" t="n">
        <f aca="false">IF(OR(ISBLANK(M121),ISBLANK(N121),ISBLANK(O121)),1,0)</f>
        <v>0</v>
      </c>
      <c r="T121" s="26" t="n">
        <f aca="false">IF(AND(S121=1,OR(ISBLANK(L121),L121="-")),1,0)</f>
        <v>0</v>
      </c>
      <c r="U121" s="26" t="n">
        <f aca="false">IF(H121&lt;ReportDate,1,0)</f>
        <v>0</v>
      </c>
    </row>
    <row r="122" customFormat="false" ht="15" hidden="false" customHeight="false" outlineLevel="0" collapsed="false">
      <c r="A122" s="22" t="s">
        <v>532</v>
      </c>
      <c r="B122" s="22" t="s">
        <v>208</v>
      </c>
      <c r="C122" s="22" t="str">
        <f aca="false">VLOOKUP(B122,'Lookup Data'!$A$4:$B$20,2,FALSE())</f>
        <v>APJ</v>
      </c>
      <c r="D122" s="22" t="s">
        <v>533</v>
      </c>
      <c r="E122" s="22" t="s">
        <v>504</v>
      </c>
      <c r="F122" s="22" t="s">
        <v>54</v>
      </c>
      <c r="G122" s="22" t="s">
        <v>123</v>
      </c>
      <c r="H122" s="23" t="n">
        <v>45895</v>
      </c>
      <c r="I122" s="22" t="s">
        <v>45</v>
      </c>
      <c r="J122" s="24" t="b">
        <f aca="false">FALSE()</f>
        <v>0</v>
      </c>
      <c r="K122" s="25" t="n">
        <v>22800</v>
      </c>
      <c r="L122" s="22" t="s">
        <v>534</v>
      </c>
      <c r="M122" s="22" t="s">
        <v>199</v>
      </c>
      <c r="N122" s="22" t="s">
        <v>113</v>
      </c>
      <c r="O122" s="22" t="s">
        <v>212</v>
      </c>
      <c r="P122" s="26" t="n">
        <f aca="false">IF(G122="-",1,0)</f>
        <v>0</v>
      </c>
      <c r="Q122" s="26" t="n">
        <f aca="false">IF(N(K122)=0,1,0)</f>
        <v>0</v>
      </c>
      <c r="R122" s="26" t="n">
        <f aca="false">IF(AND(J122=TRUE(),N(K122)=0),1,0)</f>
        <v>0</v>
      </c>
      <c r="S122" s="26" t="n">
        <f aca="false">IF(OR(ISBLANK(M122),ISBLANK(N122),ISBLANK(O122)),1,0)</f>
        <v>0</v>
      </c>
      <c r="T122" s="26" t="n">
        <f aca="false">IF(AND(S122=1,OR(ISBLANK(L122),L122="-")),1,0)</f>
        <v>0</v>
      </c>
      <c r="U122" s="26" t="n">
        <f aca="false">IF(H122&lt;ReportDate,1,0)</f>
        <v>0</v>
      </c>
    </row>
    <row r="123" customFormat="false" ht="15" hidden="false" customHeight="false" outlineLevel="0" collapsed="false">
      <c r="A123" s="22" t="s">
        <v>535</v>
      </c>
      <c r="B123" s="22" t="s">
        <v>141</v>
      </c>
      <c r="C123" s="22" t="str">
        <f aca="false">VLOOKUP(B123,'Lookup Data'!$A$4:$B$20,2,FALSE())</f>
        <v>LATAM</v>
      </c>
      <c r="D123" s="22" t="s">
        <v>536</v>
      </c>
      <c r="E123" s="22" t="s">
        <v>230</v>
      </c>
      <c r="F123" s="22" t="s">
        <v>52</v>
      </c>
      <c r="G123" s="22" t="s">
        <v>95</v>
      </c>
      <c r="H123" s="23" t="n">
        <v>45864</v>
      </c>
      <c r="I123" s="22" t="s">
        <v>45</v>
      </c>
      <c r="J123" s="24" t="b">
        <f aca="false">TRUE()</f>
        <v>1</v>
      </c>
      <c r="K123" s="25" t="n">
        <v>5440</v>
      </c>
      <c r="L123" s="22" t="s">
        <v>537</v>
      </c>
      <c r="M123" s="22" t="s">
        <v>538</v>
      </c>
      <c r="N123" s="22" t="s">
        <v>113</v>
      </c>
      <c r="O123" s="22" t="s">
        <v>145</v>
      </c>
      <c r="P123" s="26" t="n">
        <f aca="false">IF(G123="-",1,0)</f>
        <v>0</v>
      </c>
      <c r="Q123" s="26" t="n">
        <f aca="false">IF(N(K123)=0,1,0)</f>
        <v>0</v>
      </c>
      <c r="R123" s="26" t="n">
        <f aca="false">IF(AND(J123=TRUE(),N(K123)=0),1,0)</f>
        <v>0</v>
      </c>
      <c r="S123" s="26" t="n">
        <f aca="false">IF(OR(ISBLANK(M123),ISBLANK(N123),ISBLANK(O123)),1,0)</f>
        <v>0</v>
      </c>
      <c r="T123" s="26" t="n">
        <f aca="false">IF(AND(S123=1,OR(ISBLANK(L123),L123="-")),1,0)</f>
        <v>0</v>
      </c>
      <c r="U123" s="26" t="n">
        <f aca="false">IF(H123&lt;ReportDate,1,0)</f>
        <v>0</v>
      </c>
    </row>
    <row r="124" customFormat="false" ht="15" hidden="false" customHeight="false" outlineLevel="0" collapsed="false">
      <c r="A124" s="22" t="s">
        <v>539</v>
      </c>
      <c r="B124" s="22" t="s">
        <v>258</v>
      </c>
      <c r="C124" s="22" t="str">
        <f aca="false">VLOOKUP(B124,'Lookup Data'!$A$4:$B$20,2,FALSE())</f>
        <v>APJ</v>
      </c>
      <c r="D124" s="22" t="s">
        <v>540</v>
      </c>
      <c r="E124" s="22" t="s">
        <v>260</v>
      </c>
      <c r="F124" s="22" t="s">
        <v>54</v>
      </c>
      <c r="G124" s="22" t="s">
        <v>123</v>
      </c>
      <c r="H124" s="23" t="n">
        <v>45902</v>
      </c>
      <c r="I124" s="22" t="s">
        <v>45</v>
      </c>
      <c r="J124" s="24" t="b">
        <f aca="false">FALSE()</f>
        <v>0</v>
      </c>
      <c r="K124" s="25" t="n">
        <v>3610</v>
      </c>
      <c r="L124" s="22" t="s">
        <v>541</v>
      </c>
      <c r="M124" s="22" t="s">
        <v>516</v>
      </c>
      <c r="N124" s="22" t="s">
        <v>91</v>
      </c>
      <c r="O124" s="22" t="s">
        <v>212</v>
      </c>
      <c r="P124" s="26" t="n">
        <f aca="false">IF(G124="-",1,0)</f>
        <v>0</v>
      </c>
      <c r="Q124" s="26" t="n">
        <f aca="false">IF(N(K124)=0,1,0)</f>
        <v>0</v>
      </c>
      <c r="R124" s="26" t="n">
        <f aca="false">IF(AND(J124=TRUE(),N(K124)=0),1,0)</f>
        <v>0</v>
      </c>
      <c r="S124" s="26" t="n">
        <f aca="false">IF(OR(ISBLANK(M124),ISBLANK(N124),ISBLANK(O124)),1,0)</f>
        <v>0</v>
      </c>
      <c r="T124" s="26" t="n">
        <f aca="false">IF(AND(S124=1,OR(ISBLANK(L124),L124="-")),1,0)</f>
        <v>0</v>
      </c>
      <c r="U124" s="26" t="n">
        <f aca="false">IF(H124&lt;ReportDate,1,0)</f>
        <v>0</v>
      </c>
    </row>
    <row r="125" customFormat="false" ht="15" hidden="false" customHeight="false" outlineLevel="0" collapsed="false">
      <c r="A125" s="22" t="s">
        <v>542</v>
      </c>
      <c r="B125" s="22" t="s">
        <v>241</v>
      </c>
      <c r="C125" s="22" t="str">
        <f aca="false">VLOOKUP(B125,'Lookup Data'!$A$4:$B$20,2,FALSE())</f>
        <v>LATAM</v>
      </c>
      <c r="D125" s="22" t="s">
        <v>543</v>
      </c>
      <c r="E125" s="22" t="s">
        <v>230</v>
      </c>
      <c r="F125" s="22" t="s">
        <v>51</v>
      </c>
      <c r="G125" s="22" t="s">
        <v>123</v>
      </c>
      <c r="H125" s="23" t="n">
        <v>45947</v>
      </c>
      <c r="I125" s="22" t="s">
        <v>102</v>
      </c>
      <c r="J125" s="24" t="b">
        <f aca="false">FALSE()</f>
        <v>0</v>
      </c>
      <c r="K125" s="25" t="n">
        <v>6360</v>
      </c>
      <c r="L125" s="22" t="s">
        <v>544</v>
      </c>
      <c r="M125" s="22" t="s">
        <v>545</v>
      </c>
      <c r="N125" s="22" t="s">
        <v>172</v>
      </c>
      <c r="O125" s="22" t="s">
        <v>145</v>
      </c>
      <c r="P125" s="26" t="n">
        <f aca="false">IF(G125="-",1,0)</f>
        <v>0</v>
      </c>
      <c r="Q125" s="26" t="n">
        <f aca="false">IF(N(K125)=0,1,0)</f>
        <v>0</v>
      </c>
      <c r="R125" s="26" t="n">
        <f aca="false">IF(AND(J125=TRUE(),N(K125)=0),1,0)</f>
        <v>0</v>
      </c>
      <c r="S125" s="26" t="n">
        <f aca="false">IF(OR(ISBLANK(M125),ISBLANK(N125),ISBLANK(O125)),1,0)</f>
        <v>0</v>
      </c>
      <c r="T125" s="26" t="n">
        <f aca="false">IF(AND(S125=1,OR(ISBLANK(L125),L125="-")),1,0)</f>
        <v>0</v>
      </c>
      <c r="U125" s="26" t="n">
        <f aca="false">IF(H125&lt;ReportDate,1,0)</f>
        <v>0</v>
      </c>
    </row>
    <row r="126" customFormat="false" ht="15" hidden="false" customHeight="false" outlineLevel="0" collapsed="false">
      <c r="A126" s="22" t="s">
        <v>546</v>
      </c>
      <c r="B126" s="22" t="s">
        <v>126</v>
      </c>
      <c r="C126" s="22" t="str">
        <f aca="false">VLOOKUP(B126,'Lookup Data'!$A$4:$B$20,2,FALSE())</f>
        <v>MEE</v>
      </c>
      <c r="D126" s="22" t="s">
        <v>179</v>
      </c>
      <c r="E126" s="22" t="s">
        <v>359</v>
      </c>
      <c r="F126" s="22" t="s">
        <v>52</v>
      </c>
      <c r="G126" s="22" t="s">
        <v>95</v>
      </c>
      <c r="H126" s="23" t="n">
        <v>45913</v>
      </c>
      <c r="I126" s="22" t="s">
        <v>45</v>
      </c>
      <c r="J126" s="24" t="b">
        <f aca="false">FALSE()</f>
        <v>0</v>
      </c>
      <c r="K126" s="25" t="n">
        <v>22270</v>
      </c>
      <c r="L126" s="22" t="s">
        <v>547</v>
      </c>
      <c r="M126" s="22"/>
      <c r="N126" s="22"/>
      <c r="O126" s="22" t="s">
        <v>131</v>
      </c>
      <c r="P126" s="26" t="n">
        <f aca="false">IF(G126="-",1,0)</f>
        <v>0</v>
      </c>
      <c r="Q126" s="26" t="n">
        <f aca="false">IF(N(K126)=0,1,0)</f>
        <v>0</v>
      </c>
      <c r="R126" s="26" t="n">
        <f aca="false">IF(AND(J126=TRUE(),N(K126)=0),1,0)</f>
        <v>0</v>
      </c>
      <c r="S126" s="26" t="n">
        <f aca="false">IF(OR(ISBLANK(M126),ISBLANK(N126),ISBLANK(O126)),1,0)</f>
        <v>1</v>
      </c>
      <c r="T126" s="26" t="n">
        <f aca="false">IF(AND(S126=1,OR(ISBLANK(L126),L126="-")),1,0)</f>
        <v>0</v>
      </c>
      <c r="U126" s="26" t="n">
        <f aca="false">IF(H126&lt;ReportDate,1,0)</f>
        <v>0</v>
      </c>
    </row>
    <row r="127" customFormat="false" ht="15" hidden="false" customHeight="false" outlineLevel="0" collapsed="false">
      <c r="A127" s="22" t="s">
        <v>548</v>
      </c>
      <c r="B127" s="22" t="s">
        <v>178</v>
      </c>
      <c r="C127" s="22" t="str">
        <f aca="false">VLOOKUP(B127,'Lookup Data'!$A$4:$B$20,2,FALSE())</f>
        <v>MEE</v>
      </c>
      <c r="D127" s="22" t="s">
        <v>549</v>
      </c>
      <c r="E127" s="22" t="s">
        <v>374</v>
      </c>
      <c r="F127" s="22" t="s">
        <v>52</v>
      </c>
      <c r="G127" s="22" t="s">
        <v>123</v>
      </c>
      <c r="H127" s="23" t="n">
        <v>45841</v>
      </c>
      <c r="I127" s="22" t="s">
        <v>45</v>
      </c>
      <c r="J127" s="24" t="b">
        <f aca="false">TRUE()</f>
        <v>1</v>
      </c>
      <c r="K127" s="25" t="n">
        <v>20430</v>
      </c>
      <c r="L127" s="22" t="s">
        <v>88</v>
      </c>
      <c r="M127" s="22"/>
      <c r="N127" s="22" t="s">
        <v>113</v>
      </c>
      <c r="O127" s="22" t="s">
        <v>131</v>
      </c>
      <c r="P127" s="26" t="n">
        <f aca="false">IF(G127="-",1,0)</f>
        <v>0</v>
      </c>
      <c r="Q127" s="26" t="n">
        <f aca="false">IF(N(K127)=0,1,0)</f>
        <v>0</v>
      </c>
      <c r="R127" s="26" t="n">
        <f aca="false">IF(AND(J127=TRUE(),N(K127)=0),1,0)</f>
        <v>0</v>
      </c>
      <c r="S127" s="26" t="n">
        <f aca="false">IF(OR(ISBLANK(M127),ISBLANK(N127),ISBLANK(O127)),1,0)</f>
        <v>1</v>
      </c>
      <c r="T127" s="26" t="n">
        <f aca="false">IF(AND(S127=1,OR(ISBLANK(L127),L127="-")),1,0)</f>
        <v>1</v>
      </c>
      <c r="U127" s="26" t="n">
        <f aca="false">IF(H127&lt;ReportDate,1,0)</f>
        <v>1</v>
      </c>
    </row>
    <row r="128" customFormat="false" ht="15" hidden="false" customHeight="false" outlineLevel="0" collapsed="false">
      <c r="A128" s="22" t="s">
        <v>550</v>
      </c>
      <c r="B128" s="22" t="s">
        <v>264</v>
      </c>
      <c r="C128" s="22" t="str">
        <f aca="false">VLOOKUP(B128,'Lookup Data'!$A$4:$B$20,2,FALSE())</f>
        <v>EMEA N</v>
      </c>
      <c r="D128" s="22" t="s">
        <v>222</v>
      </c>
      <c r="E128" s="22" t="s">
        <v>117</v>
      </c>
      <c r="F128" s="22" t="s">
        <v>51</v>
      </c>
      <c r="G128" s="22" t="s">
        <v>123</v>
      </c>
      <c r="H128" s="23" t="n">
        <v>45919</v>
      </c>
      <c r="I128" s="22" t="s">
        <v>45</v>
      </c>
      <c r="J128" s="24" t="b">
        <f aca="false">FALSE()</f>
        <v>0</v>
      </c>
      <c r="K128" s="25" t="n">
        <v>1540</v>
      </c>
      <c r="L128" s="22" t="s">
        <v>551</v>
      </c>
      <c r="M128" s="22" t="s">
        <v>552</v>
      </c>
      <c r="N128" s="22" t="s">
        <v>91</v>
      </c>
      <c r="O128" s="22" t="s">
        <v>92</v>
      </c>
      <c r="P128" s="26" t="n">
        <f aca="false">IF(G128="-",1,0)</f>
        <v>0</v>
      </c>
      <c r="Q128" s="26" t="n">
        <f aca="false">IF(N(K128)=0,1,0)</f>
        <v>0</v>
      </c>
      <c r="R128" s="26" t="n">
        <f aca="false">IF(AND(J128=TRUE(),N(K128)=0),1,0)</f>
        <v>0</v>
      </c>
      <c r="S128" s="26" t="n">
        <f aca="false">IF(OR(ISBLANK(M128),ISBLANK(N128),ISBLANK(O128)),1,0)</f>
        <v>0</v>
      </c>
      <c r="T128" s="26" t="n">
        <f aca="false">IF(AND(S128=1,OR(ISBLANK(L128),L128="-")),1,0)</f>
        <v>0</v>
      </c>
      <c r="U128" s="26" t="n">
        <f aca="false">IF(H128&lt;ReportDate,1,0)</f>
        <v>0</v>
      </c>
    </row>
    <row r="129" customFormat="false" ht="15" hidden="false" customHeight="false" outlineLevel="0" collapsed="false">
      <c r="A129" s="22" t="s">
        <v>553</v>
      </c>
      <c r="B129" s="22" t="s">
        <v>159</v>
      </c>
      <c r="C129" s="22" t="str">
        <f aca="false">VLOOKUP(B129,'Lookup Data'!$A$4:$B$20,2,FALSE())</f>
        <v>MEE</v>
      </c>
      <c r="D129" s="22" t="s">
        <v>554</v>
      </c>
      <c r="E129" s="22" t="s">
        <v>374</v>
      </c>
      <c r="F129" s="22" t="s">
        <v>52</v>
      </c>
      <c r="G129" s="22" t="s">
        <v>332</v>
      </c>
      <c r="H129" s="23" t="n">
        <v>45843</v>
      </c>
      <c r="I129" s="22" t="s">
        <v>102</v>
      </c>
      <c r="J129" s="24" t="b">
        <f aca="false">FALSE()</f>
        <v>0</v>
      </c>
      <c r="K129" s="25" t="n">
        <v>3540</v>
      </c>
      <c r="L129" s="22" t="s">
        <v>555</v>
      </c>
      <c r="M129" s="22" t="s">
        <v>556</v>
      </c>
      <c r="N129" s="22" t="s">
        <v>91</v>
      </c>
      <c r="O129" s="22" t="s">
        <v>131</v>
      </c>
      <c r="P129" s="26" t="n">
        <f aca="false">IF(G129="-",1,0)</f>
        <v>0</v>
      </c>
      <c r="Q129" s="26" t="n">
        <f aca="false">IF(N(K129)=0,1,0)</f>
        <v>0</v>
      </c>
      <c r="R129" s="26" t="n">
        <f aca="false">IF(AND(J129=TRUE(),N(K129)=0),1,0)</f>
        <v>0</v>
      </c>
      <c r="S129" s="26" t="n">
        <f aca="false">IF(OR(ISBLANK(M129),ISBLANK(N129),ISBLANK(O129)),1,0)</f>
        <v>0</v>
      </c>
      <c r="T129" s="26" t="n">
        <f aca="false">IF(AND(S129=1,OR(ISBLANK(L129),L129="-")),1,0)</f>
        <v>0</v>
      </c>
      <c r="U129" s="26" t="n">
        <f aca="false">IF(H129&lt;ReportDate,1,0)</f>
        <v>1</v>
      </c>
    </row>
    <row r="130" customFormat="false" ht="15" hidden="false" customHeight="false" outlineLevel="0" collapsed="false">
      <c r="A130" s="22" t="s">
        <v>557</v>
      </c>
      <c r="B130" s="22" t="s">
        <v>126</v>
      </c>
      <c r="C130" s="22" t="str">
        <f aca="false">VLOOKUP(B130,'Lookup Data'!$A$4:$B$20,2,FALSE())</f>
        <v>MEE</v>
      </c>
      <c r="D130" s="22" t="s">
        <v>558</v>
      </c>
      <c r="E130" s="22" t="s">
        <v>161</v>
      </c>
      <c r="F130" s="22" t="s">
        <v>52</v>
      </c>
      <c r="G130" s="22" t="s">
        <v>123</v>
      </c>
      <c r="H130" s="23" t="n">
        <v>45928</v>
      </c>
      <c r="I130" s="22" t="s">
        <v>45</v>
      </c>
      <c r="J130" s="24" t="b">
        <f aca="false">TRUE()</f>
        <v>1</v>
      </c>
      <c r="K130" s="25" t="n">
        <v>6940</v>
      </c>
      <c r="L130" s="22" t="s">
        <v>88</v>
      </c>
      <c r="M130" s="22"/>
      <c r="N130" s="22" t="s">
        <v>105</v>
      </c>
      <c r="O130" s="22" t="s">
        <v>131</v>
      </c>
      <c r="P130" s="26" t="n">
        <f aca="false">IF(G130="-",1,0)</f>
        <v>0</v>
      </c>
      <c r="Q130" s="26" t="n">
        <f aca="false">IF(N(K130)=0,1,0)</f>
        <v>0</v>
      </c>
      <c r="R130" s="26" t="n">
        <f aca="false">IF(AND(J130=TRUE(),N(K130)=0),1,0)</f>
        <v>0</v>
      </c>
      <c r="S130" s="26" t="n">
        <f aca="false">IF(OR(ISBLANK(M130),ISBLANK(N130),ISBLANK(O130)),1,0)</f>
        <v>1</v>
      </c>
      <c r="T130" s="26" t="n">
        <f aca="false">IF(AND(S130=1,OR(ISBLANK(L130),L130="-")),1,0)</f>
        <v>1</v>
      </c>
      <c r="U130" s="26" t="n">
        <f aca="false">IF(H130&lt;ReportDate,1,0)</f>
        <v>0</v>
      </c>
    </row>
    <row r="131" customFormat="false" ht="15" hidden="false" customHeight="false" outlineLevel="0" collapsed="false">
      <c r="A131" s="22" t="s">
        <v>559</v>
      </c>
      <c r="B131" s="22" t="s">
        <v>178</v>
      </c>
      <c r="C131" s="22" t="str">
        <f aca="false">VLOOKUP(B131,'Lookup Data'!$A$4:$B$20,2,FALSE())</f>
        <v>MEE</v>
      </c>
      <c r="D131" s="22" t="s">
        <v>142</v>
      </c>
      <c r="E131" s="22" t="s">
        <v>359</v>
      </c>
      <c r="F131" s="22" t="s">
        <v>54</v>
      </c>
      <c r="G131" s="22" t="s">
        <v>123</v>
      </c>
      <c r="H131" s="23" t="n">
        <v>45840</v>
      </c>
      <c r="I131" s="22" t="s">
        <v>45</v>
      </c>
      <c r="J131" s="24" t="b">
        <f aca="false">TRUE()</f>
        <v>1</v>
      </c>
      <c r="K131" s="25" t="n">
        <v>0</v>
      </c>
      <c r="L131" s="22" t="s">
        <v>88</v>
      </c>
      <c r="M131" s="22"/>
      <c r="N131" s="22"/>
      <c r="O131" s="22" t="s">
        <v>131</v>
      </c>
      <c r="P131" s="26" t="n">
        <f aca="false">IF(G131="-",1,0)</f>
        <v>0</v>
      </c>
      <c r="Q131" s="26" t="n">
        <f aca="false">IF(N(K131)=0,1,0)</f>
        <v>1</v>
      </c>
      <c r="R131" s="26" t="n">
        <f aca="false">IF(AND(J131=TRUE(),N(K131)=0),1,0)</f>
        <v>1</v>
      </c>
      <c r="S131" s="26" t="n">
        <f aca="false">IF(OR(ISBLANK(M131),ISBLANK(N131),ISBLANK(O131)),1,0)</f>
        <v>1</v>
      </c>
      <c r="T131" s="26" t="n">
        <f aca="false">IF(AND(S131=1,OR(ISBLANK(L131),L131="-")),1,0)</f>
        <v>1</v>
      </c>
      <c r="U131" s="26" t="n">
        <f aca="false">IF(H131&lt;ReportDate,1,0)</f>
        <v>1</v>
      </c>
    </row>
    <row r="132" customFormat="false" ht="15" hidden="false" customHeight="false" outlineLevel="0" collapsed="false">
      <c r="A132" s="22" t="s">
        <v>560</v>
      </c>
      <c r="B132" s="22" t="s">
        <v>115</v>
      </c>
      <c r="C132" s="22" t="str">
        <f aca="false">VLOOKUP(B132,'Lookup Data'!$A$4:$B$20,2,FALSE())</f>
        <v>EMEA N</v>
      </c>
      <c r="D132" s="22" t="s">
        <v>435</v>
      </c>
      <c r="E132" s="22" t="s">
        <v>252</v>
      </c>
      <c r="F132" s="22" t="s">
        <v>54</v>
      </c>
      <c r="G132" s="22" t="s">
        <v>246</v>
      </c>
      <c r="H132" s="23" t="n">
        <v>45897</v>
      </c>
      <c r="I132" s="22" t="s">
        <v>45</v>
      </c>
      <c r="J132" s="24" t="b">
        <f aca="false">FALSE()</f>
        <v>0</v>
      </c>
      <c r="K132" s="25" t="n">
        <v>14640</v>
      </c>
      <c r="L132" s="22" t="s">
        <v>561</v>
      </c>
      <c r="M132" s="22" t="s">
        <v>562</v>
      </c>
      <c r="N132" s="22" t="s">
        <v>172</v>
      </c>
      <c r="O132" s="22" t="s">
        <v>92</v>
      </c>
      <c r="P132" s="26" t="n">
        <f aca="false">IF(G132="-",1,0)</f>
        <v>0</v>
      </c>
      <c r="Q132" s="26" t="n">
        <f aca="false">IF(N(K132)=0,1,0)</f>
        <v>0</v>
      </c>
      <c r="R132" s="26" t="n">
        <f aca="false">IF(AND(J132=TRUE(),N(K132)=0),1,0)</f>
        <v>0</v>
      </c>
      <c r="S132" s="26" t="n">
        <f aca="false">IF(OR(ISBLANK(M132),ISBLANK(N132),ISBLANK(O132)),1,0)</f>
        <v>0</v>
      </c>
      <c r="T132" s="26" t="n">
        <f aca="false">IF(AND(S132=1,OR(ISBLANK(L132),L132="-")),1,0)</f>
        <v>0</v>
      </c>
      <c r="U132" s="26" t="n">
        <f aca="false">IF(H132&lt;ReportDate,1,0)</f>
        <v>0</v>
      </c>
    </row>
    <row r="133" customFormat="false" ht="15" hidden="false" customHeight="false" outlineLevel="0" collapsed="false">
      <c r="A133" s="22" t="s">
        <v>563</v>
      </c>
      <c r="B133" s="22" t="s">
        <v>264</v>
      </c>
      <c r="C133" s="22" t="str">
        <f aca="false">VLOOKUP(B133,'Lookup Data'!$A$4:$B$20,2,FALSE())</f>
        <v>EMEA N</v>
      </c>
      <c r="D133" s="22" t="s">
        <v>459</v>
      </c>
      <c r="E133" s="22" t="s">
        <v>149</v>
      </c>
      <c r="F133" s="22" t="s">
        <v>52</v>
      </c>
      <c r="G133" s="22" t="s">
        <v>123</v>
      </c>
      <c r="H133" s="23" t="n">
        <v>45926</v>
      </c>
      <c r="I133" s="22" t="s">
        <v>45</v>
      </c>
      <c r="J133" s="24" t="b">
        <f aca="false">FALSE()</f>
        <v>0</v>
      </c>
      <c r="K133" s="25" t="n">
        <v>9750</v>
      </c>
      <c r="L133" s="22" t="s">
        <v>564</v>
      </c>
      <c r="M133" s="22" t="s">
        <v>565</v>
      </c>
      <c r="N133" s="22" t="s">
        <v>113</v>
      </c>
      <c r="O133" s="22" t="s">
        <v>92</v>
      </c>
      <c r="P133" s="26" t="n">
        <f aca="false">IF(G133="-",1,0)</f>
        <v>0</v>
      </c>
      <c r="Q133" s="26" t="n">
        <f aca="false">IF(N(K133)=0,1,0)</f>
        <v>0</v>
      </c>
      <c r="R133" s="26" t="n">
        <f aca="false">IF(AND(J133=TRUE(),N(K133)=0),1,0)</f>
        <v>0</v>
      </c>
      <c r="S133" s="26" t="n">
        <f aca="false">IF(OR(ISBLANK(M133),ISBLANK(N133),ISBLANK(O133)),1,0)</f>
        <v>0</v>
      </c>
      <c r="T133" s="26" t="n">
        <f aca="false">IF(AND(S133=1,OR(ISBLANK(L133),L133="-")),1,0)</f>
        <v>0</v>
      </c>
      <c r="U133" s="26" t="n">
        <f aca="false">IF(H133&lt;ReportDate,1,0)</f>
        <v>0</v>
      </c>
    </row>
    <row r="134" customFormat="false" ht="15" hidden="false" customHeight="false" outlineLevel="0" collapsed="false">
      <c r="A134" s="22" t="s">
        <v>566</v>
      </c>
      <c r="B134" s="22" t="s">
        <v>264</v>
      </c>
      <c r="C134" s="22" t="str">
        <f aca="false">VLOOKUP(B134,'Lookup Data'!$A$4:$B$20,2,FALSE())</f>
        <v>EMEA N</v>
      </c>
      <c r="D134" s="22" t="s">
        <v>498</v>
      </c>
      <c r="E134" s="22" t="s">
        <v>252</v>
      </c>
      <c r="F134" s="22" t="s">
        <v>53</v>
      </c>
      <c r="G134" s="22" t="s">
        <v>332</v>
      </c>
      <c r="H134" s="23" t="n">
        <v>45877</v>
      </c>
      <c r="I134" s="22" t="s">
        <v>45</v>
      </c>
      <c r="J134" s="24" t="b">
        <f aca="false">FALSE()</f>
        <v>0</v>
      </c>
      <c r="K134" s="25" t="n">
        <v>4050</v>
      </c>
      <c r="L134" s="22" t="s">
        <v>567</v>
      </c>
      <c r="M134" s="22" t="s">
        <v>568</v>
      </c>
      <c r="N134" s="22" t="s">
        <v>91</v>
      </c>
      <c r="O134" s="22" t="s">
        <v>92</v>
      </c>
      <c r="P134" s="26" t="n">
        <f aca="false">IF(G134="-",1,0)</f>
        <v>0</v>
      </c>
      <c r="Q134" s="26" t="n">
        <f aca="false">IF(N(K134)=0,1,0)</f>
        <v>0</v>
      </c>
      <c r="R134" s="26" t="n">
        <f aca="false">IF(AND(J134=TRUE(),N(K134)=0),1,0)</f>
        <v>0</v>
      </c>
      <c r="S134" s="26" t="n">
        <f aca="false">IF(OR(ISBLANK(M134),ISBLANK(N134),ISBLANK(O134)),1,0)</f>
        <v>0</v>
      </c>
      <c r="T134" s="26" t="n">
        <f aca="false">IF(AND(S134=1,OR(ISBLANK(L134),L134="-")),1,0)</f>
        <v>0</v>
      </c>
      <c r="U134" s="26" t="n">
        <f aca="false">IF(H134&lt;ReportDate,1,0)</f>
        <v>0</v>
      </c>
    </row>
    <row r="135" customFormat="false" ht="15" hidden="false" customHeight="false" outlineLevel="0" collapsed="false">
      <c r="A135" s="22" t="s">
        <v>569</v>
      </c>
      <c r="B135" s="22" t="s">
        <v>366</v>
      </c>
      <c r="C135" s="22" t="str">
        <f aca="false">VLOOKUP(B135,'Lookup Data'!$A$4:$B$20,2,FALSE())</f>
        <v>GCN</v>
      </c>
      <c r="D135" s="22" t="s">
        <v>466</v>
      </c>
      <c r="E135" s="22" t="s">
        <v>156</v>
      </c>
      <c r="F135" s="22" t="s">
        <v>53</v>
      </c>
      <c r="G135" s="22" t="s">
        <v>123</v>
      </c>
      <c r="H135" s="23" t="n">
        <v>45928</v>
      </c>
      <c r="I135" s="22" t="s">
        <v>45</v>
      </c>
      <c r="J135" s="24" t="b">
        <f aca="false">TRUE()</f>
        <v>1</v>
      </c>
      <c r="K135" s="25" t="n">
        <v>14730</v>
      </c>
      <c r="L135" s="22" t="s">
        <v>570</v>
      </c>
      <c r="M135" s="22"/>
      <c r="N135" s="22" t="s">
        <v>105</v>
      </c>
      <c r="O135" s="22" t="s">
        <v>157</v>
      </c>
      <c r="P135" s="26" t="n">
        <f aca="false">IF(G135="-",1,0)</f>
        <v>0</v>
      </c>
      <c r="Q135" s="26" t="n">
        <f aca="false">IF(N(K135)=0,1,0)</f>
        <v>0</v>
      </c>
      <c r="R135" s="26" t="n">
        <f aca="false">IF(AND(J135=TRUE(),N(K135)=0),1,0)</f>
        <v>0</v>
      </c>
      <c r="S135" s="26" t="n">
        <f aca="false">IF(OR(ISBLANK(M135),ISBLANK(N135),ISBLANK(O135)),1,0)</f>
        <v>1</v>
      </c>
      <c r="T135" s="26" t="n">
        <f aca="false">IF(AND(S135=1,OR(ISBLANK(L135),L135="-")),1,0)</f>
        <v>0</v>
      </c>
      <c r="U135" s="26" t="n">
        <f aca="false">IF(H135&lt;ReportDate,1,0)</f>
        <v>0</v>
      </c>
    </row>
    <row r="136" customFormat="false" ht="15" hidden="false" customHeight="false" outlineLevel="0" collapsed="false">
      <c r="A136" s="22" t="s">
        <v>571</v>
      </c>
      <c r="B136" s="22" t="s">
        <v>85</v>
      </c>
      <c r="C136" s="22" t="str">
        <f aca="false">VLOOKUP(B136,'Lookup Data'!$A$4:$B$20,2,FALSE())</f>
        <v>EMEA N</v>
      </c>
      <c r="D136" s="22" t="s">
        <v>572</v>
      </c>
      <c r="E136" s="22" t="s">
        <v>117</v>
      </c>
      <c r="F136" s="22" t="s">
        <v>51</v>
      </c>
      <c r="G136" s="22" t="s">
        <v>123</v>
      </c>
      <c r="H136" s="23" t="n">
        <v>45899</v>
      </c>
      <c r="I136" s="22" t="s">
        <v>45</v>
      </c>
      <c r="J136" s="24" t="b">
        <f aca="false">TRUE()</f>
        <v>1</v>
      </c>
      <c r="K136" s="25" t="n">
        <v>18050</v>
      </c>
      <c r="L136" s="22" t="s">
        <v>573</v>
      </c>
      <c r="M136" s="22" t="s">
        <v>574</v>
      </c>
      <c r="N136" s="22" t="s">
        <v>105</v>
      </c>
      <c r="O136" s="22" t="s">
        <v>92</v>
      </c>
      <c r="P136" s="26" t="n">
        <f aca="false">IF(G136="-",1,0)</f>
        <v>0</v>
      </c>
      <c r="Q136" s="26" t="n">
        <f aca="false">IF(N(K136)=0,1,0)</f>
        <v>0</v>
      </c>
      <c r="R136" s="26" t="n">
        <f aca="false">IF(AND(J136=TRUE(),N(K136)=0),1,0)</f>
        <v>0</v>
      </c>
      <c r="S136" s="26" t="n">
        <f aca="false">IF(OR(ISBLANK(M136),ISBLANK(N136),ISBLANK(O136)),1,0)</f>
        <v>0</v>
      </c>
      <c r="T136" s="26" t="n">
        <f aca="false">IF(AND(S136=1,OR(ISBLANK(L136),L136="-")),1,0)</f>
        <v>0</v>
      </c>
      <c r="U136" s="26" t="n">
        <f aca="false">IF(H136&lt;ReportDate,1,0)</f>
        <v>0</v>
      </c>
    </row>
    <row r="137" customFormat="false" ht="15" hidden="false" customHeight="false" outlineLevel="0" collapsed="false">
      <c r="A137" s="22" t="s">
        <v>575</v>
      </c>
      <c r="B137" s="22" t="s">
        <v>241</v>
      </c>
      <c r="C137" s="22" t="str">
        <f aca="false">VLOOKUP(B137,'Lookup Data'!$A$4:$B$20,2,FALSE())</f>
        <v>LATAM</v>
      </c>
      <c r="D137" s="22" t="s">
        <v>284</v>
      </c>
      <c r="E137" s="22" t="s">
        <v>243</v>
      </c>
      <c r="F137" s="22" t="s">
        <v>52</v>
      </c>
      <c r="G137" s="22" t="s">
        <v>123</v>
      </c>
      <c r="H137" s="23" t="n">
        <v>45910</v>
      </c>
      <c r="I137" s="22" t="s">
        <v>45</v>
      </c>
      <c r="J137" s="24" t="b">
        <f aca="false">TRUE()</f>
        <v>1</v>
      </c>
      <c r="K137" s="25" t="n">
        <v>2960</v>
      </c>
      <c r="L137" s="22" t="s">
        <v>88</v>
      </c>
      <c r="M137" s="22"/>
      <c r="N137" s="22"/>
      <c r="O137" s="22" t="s">
        <v>145</v>
      </c>
      <c r="P137" s="26" t="n">
        <f aca="false">IF(G137="-",1,0)</f>
        <v>0</v>
      </c>
      <c r="Q137" s="26" t="n">
        <f aca="false">IF(N(K137)=0,1,0)</f>
        <v>0</v>
      </c>
      <c r="R137" s="26" t="n">
        <f aca="false">IF(AND(J137=TRUE(),N(K137)=0),1,0)</f>
        <v>0</v>
      </c>
      <c r="S137" s="26" t="n">
        <f aca="false">IF(OR(ISBLANK(M137),ISBLANK(N137),ISBLANK(O137)),1,0)</f>
        <v>1</v>
      </c>
      <c r="T137" s="26" t="n">
        <f aca="false">IF(AND(S137=1,OR(ISBLANK(L137),L137="-")),1,0)</f>
        <v>1</v>
      </c>
      <c r="U137" s="26" t="n">
        <f aca="false">IF(H137&lt;ReportDate,1,0)</f>
        <v>0</v>
      </c>
    </row>
    <row r="138" customFormat="false" ht="15" hidden="false" customHeight="false" outlineLevel="0" collapsed="false">
      <c r="A138" s="22" t="s">
        <v>576</v>
      </c>
      <c r="B138" s="22" t="s">
        <v>159</v>
      </c>
      <c r="C138" s="22" t="str">
        <f aca="false">VLOOKUP(B138,'Lookup Data'!$A$4:$B$20,2,FALSE())</f>
        <v>MEE</v>
      </c>
      <c r="D138" s="22" t="s">
        <v>577</v>
      </c>
      <c r="E138" s="22" t="s">
        <v>234</v>
      </c>
      <c r="F138" s="22" t="s">
        <v>54</v>
      </c>
      <c r="G138" s="22" t="s">
        <v>95</v>
      </c>
      <c r="H138" s="23" t="n">
        <v>45906</v>
      </c>
      <c r="I138" s="22" t="s">
        <v>45</v>
      </c>
      <c r="J138" s="24" t="b">
        <f aca="false">FALSE()</f>
        <v>0</v>
      </c>
      <c r="K138" s="25" t="n">
        <v>22090</v>
      </c>
      <c r="L138" s="22" t="s">
        <v>578</v>
      </c>
      <c r="M138" s="22" t="s">
        <v>579</v>
      </c>
      <c r="N138" s="22" t="s">
        <v>105</v>
      </c>
      <c r="O138" s="22" t="s">
        <v>131</v>
      </c>
      <c r="P138" s="26" t="n">
        <f aca="false">IF(G138="-",1,0)</f>
        <v>0</v>
      </c>
      <c r="Q138" s="26" t="n">
        <f aca="false">IF(N(K138)=0,1,0)</f>
        <v>0</v>
      </c>
      <c r="R138" s="26" t="n">
        <f aca="false">IF(AND(J138=TRUE(),N(K138)=0),1,0)</f>
        <v>0</v>
      </c>
      <c r="S138" s="26" t="n">
        <f aca="false">IF(OR(ISBLANK(M138),ISBLANK(N138),ISBLANK(O138)),1,0)</f>
        <v>0</v>
      </c>
      <c r="T138" s="26" t="n">
        <f aca="false">IF(AND(S138=1,OR(ISBLANK(L138),L138="-")),1,0)</f>
        <v>0</v>
      </c>
      <c r="U138" s="26" t="n">
        <f aca="false">IF(H138&lt;ReportDate,1,0)</f>
        <v>0</v>
      </c>
    </row>
    <row r="139" customFormat="false" ht="15" hidden="false" customHeight="false" outlineLevel="0" collapsed="false">
      <c r="A139" s="22" t="s">
        <v>580</v>
      </c>
      <c r="B139" s="22" t="s">
        <v>154</v>
      </c>
      <c r="C139" s="22" t="str">
        <f aca="false">VLOOKUP(B139,'Lookup Data'!$A$4:$B$20,2,FALSE())</f>
        <v>GCN</v>
      </c>
      <c r="D139" s="22" t="s">
        <v>463</v>
      </c>
      <c r="E139" s="22" t="s">
        <v>156</v>
      </c>
      <c r="F139" s="22" t="s">
        <v>54</v>
      </c>
      <c r="G139" s="22" t="s">
        <v>88</v>
      </c>
      <c r="H139" s="23" t="n">
        <v>45891</v>
      </c>
      <c r="I139" s="22" t="s">
        <v>45</v>
      </c>
      <c r="J139" s="24" t="b">
        <f aca="false">FALSE()</f>
        <v>0</v>
      </c>
      <c r="K139" s="25" t="n">
        <v>18440</v>
      </c>
      <c r="L139" s="22" t="s">
        <v>88</v>
      </c>
      <c r="M139" s="22"/>
      <c r="N139" s="22" t="s">
        <v>105</v>
      </c>
      <c r="O139" s="22" t="s">
        <v>157</v>
      </c>
      <c r="P139" s="26" t="n">
        <f aca="false">IF(G139="-",1,0)</f>
        <v>1</v>
      </c>
      <c r="Q139" s="26" t="n">
        <f aca="false">IF(N(K139)=0,1,0)</f>
        <v>0</v>
      </c>
      <c r="R139" s="26" t="n">
        <f aca="false">IF(AND(J139=TRUE(),N(K139)=0),1,0)</f>
        <v>0</v>
      </c>
      <c r="S139" s="26" t="n">
        <f aca="false">IF(OR(ISBLANK(M139),ISBLANK(N139),ISBLANK(O139)),1,0)</f>
        <v>1</v>
      </c>
      <c r="T139" s="26" t="n">
        <f aca="false">IF(AND(S139=1,OR(ISBLANK(L139),L139="-")),1,0)</f>
        <v>1</v>
      </c>
      <c r="U139" s="26" t="n">
        <f aca="false">IF(H139&lt;ReportDate,1,0)</f>
        <v>0</v>
      </c>
    </row>
    <row r="140" customFormat="false" ht="15" hidden="false" customHeight="false" outlineLevel="0" collapsed="false">
      <c r="A140" s="22" t="s">
        <v>581</v>
      </c>
      <c r="B140" s="22" t="s">
        <v>264</v>
      </c>
      <c r="C140" s="22" t="str">
        <f aca="false">VLOOKUP(B140,'Lookup Data'!$A$4:$B$20,2,FALSE())</f>
        <v>EMEA N</v>
      </c>
      <c r="D140" s="22" t="s">
        <v>582</v>
      </c>
      <c r="E140" s="22" t="s">
        <v>252</v>
      </c>
      <c r="F140" s="22" t="s">
        <v>51</v>
      </c>
      <c r="G140" s="22" t="s">
        <v>123</v>
      </c>
      <c r="H140" s="23" t="n">
        <v>46006</v>
      </c>
      <c r="I140" s="22" t="s">
        <v>102</v>
      </c>
      <c r="J140" s="24" t="b">
        <f aca="false">TRUE()</f>
        <v>1</v>
      </c>
      <c r="K140" s="25" t="n">
        <v>23330</v>
      </c>
      <c r="L140" s="22" t="s">
        <v>583</v>
      </c>
      <c r="M140" s="22" t="s">
        <v>584</v>
      </c>
      <c r="N140" s="22" t="s">
        <v>91</v>
      </c>
      <c r="O140" s="22" t="s">
        <v>92</v>
      </c>
      <c r="P140" s="26" t="n">
        <f aca="false">IF(G140="-",1,0)</f>
        <v>0</v>
      </c>
      <c r="Q140" s="26" t="n">
        <f aca="false">IF(N(K140)=0,1,0)</f>
        <v>0</v>
      </c>
      <c r="R140" s="26" t="n">
        <f aca="false">IF(AND(J140=TRUE(),N(K140)=0),1,0)</f>
        <v>0</v>
      </c>
      <c r="S140" s="26" t="n">
        <f aca="false">IF(OR(ISBLANK(M140),ISBLANK(N140),ISBLANK(O140)),1,0)</f>
        <v>0</v>
      </c>
      <c r="T140" s="26" t="n">
        <f aca="false">IF(AND(S140=1,OR(ISBLANK(L140),L140="-")),1,0)</f>
        <v>0</v>
      </c>
      <c r="U140" s="26" t="n">
        <f aca="false">IF(H140&lt;ReportDate,1,0)</f>
        <v>0</v>
      </c>
    </row>
    <row r="141" customFormat="false" ht="15" hidden="false" customHeight="false" outlineLevel="0" collapsed="false">
      <c r="A141" s="22" t="s">
        <v>585</v>
      </c>
      <c r="B141" s="22" t="s">
        <v>99</v>
      </c>
      <c r="C141" s="22" t="str">
        <f aca="false">VLOOKUP(B141,'Lookup Data'!$A$4:$B$20,2,FALSE())</f>
        <v>NA</v>
      </c>
      <c r="D141" s="22" t="s">
        <v>586</v>
      </c>
      <c r="E141" s="22" t="s">
        <v>314</v>
      </c>
      <c r="F141" s="22" t="s">
        <v>52</v>
      </c>
      <c r="G141" s="22" t="s">
        <v>123</v>
      </c>
      <c r="H141" s="23" t="n">
        <v>45902</v>
      </c>
      <c r="I141" s="22" t="s">
        <v>45</v>
      </c>
      <c r="J141" s="24" t="b">
        <f aca="false">FALSE()</f>
        <v>0</v>
      </c>
      <c r="K141" s="25" t="n">
        <v>21500</v>
      </c>
      <c r="L141" s="22" t="s">
        <v>587</v>
      </c>
      <c r="M141" s="22" t="s">
        <v>588</v>
      </c>
      <c r="N141" s="22" t="s">
        <v>172</v>
      </c>
      <c r="O141" s="22" t="s">
        <v>106</v>
      </c>
      <c r="P141" s="26" t="n">
        <f aca="false">IF(G141="-",1,0)</f>
        <v>0</v>
      </c>
      <c r="Q141" s="26" t="n">
        <f aca="false">IF(N(K141)=0,1,0)</f>
        <v>0</v>
      </c>
      <c r="R141" s="26" t="n">
        <f aca="false">IF(AND(J141=TRUE(),N(K141)=0),1,0)</f>
        <v>0</v>
      </c>
      <c r="S141" s="26" t="n">
        <f aca="false">IF(OR(ISBLANK(M141),ISBLANK(N141),ISBLANK(O141)),1,0)</f>
        <v>0</v>
      </c>
      <c r="T141" s="26" t="n">
        <f aca="false">IF(AND(S141=1,OR(ISBLANK(L141),L141="-")),1,0)</f>
        <v>0</v>
      </c>
      <c r="U141" s="26" t="n">
        <f aca="false">IF(H141&lt;ReportDate,1,0)</f>
        <v>0</v>
      </c>
    </row>
    <row r="142" customFormat="false" ht="15" hidden="false" customHeight="false" outlineLevel="0" collapsed="false">
      <c r="A142" s="22" t="s">
        <v>589</v>
      </c>
      <c r="B142" s="22" t="s">
        <v>264</v>
      </c>
      <c r="C142" s="22" t="str">
        <f aca="false">VLOOKUP(B142,'Lookup Data'!$A$4:$B$20,2,FALSE())</f>
        <v>EMEA N</v>
      </c>
      <c r="D142" s="22" t="s">
        <v>590</v>
      </c>
      <c r="E142" s="22" t="s">
        <v>252</v>
      </c>
      <c r="F142" s="22" t="s">
        <v>54</v>
      </c>
      <c r="G142" s="22" t="s">
        <v>95</v>
      </c>
      <c r="H142" s="23" t="n">
        <v>45867</v>
      </c>
      <c r="I142" s="22" t="s">
        <v>45</v>
      </c>
      <c r="J142" s="24" t="b">
        <f aca="false">TRUE()</f>
        <v>1</v>
      </c>
      <c r="K142" s="25" t="n">
        <v>0</v>
      </c>
      <c r="L142" s="22" t="s">
        <v>591</v>
      </c>
      <c r="M142" s="22" t="s">
        <v>592</v>
      </c>
      <c r="N142" s="22" t="s">
        <v>105</v>
      </c>
      <c r="O142" s="22" t="s">
        <v>92</v>
      </c>
      <c r="P142" s="26" t="n">
        <f aca="false">IF(G142="-",1,0)</f>
        <v>0</v>
      </c>
      <c r="Q142" s="26" t="n">
        <f aca="false">IF(N(K142)=0,1,0)</f>
        <v>1</v>
      </c>
      <c r="R142" s="26" t="n">
        <f aca="false">IF(AND(J142=TRUE(),N(K142)=0),1,0)</f>
        <v>1</v>
      </c>
      <c r="S142" s="26" t="n">
        <f aca="false">IF(OR(ISBLANK(M142),ISBLANK(N142),ISBLANK(O142)),1,0)</f>
        <v>0</v>
      </c>
      <c r="T142" s="26" t="n">
        <f aca="false">IF(AND(S142=1,OR(ISBLANK(L142),L142="-")),1,0)</f>
        <v>0</v>
      </c>
      <c r="U142" s="26" t="n">
        <f aca="false">IF(H142&lt;ReportDate,1,0)</f>
        <v>0</v>
      </c>
    </row>
  </sheetData>
  <conditionalFormatting sqref="P2:U142">
    <cfRule type="cellIs" priority="2" operator="equal" aboveAverage="0" equalAverage="0" bottom="0" percent="0" rank="0" text="" dxfId="7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4" style="0" width="1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5" t="s">
        <v>593</v>
      </c>
    </row>
    <row r="3" customFormat="false" ht="23.85" hidden="false" customHeight="false" outlineLevel="0" collapsed="false">
      <c r="A3" s="8" t="s">
        <v>68</v>
      </c>
      <c r="B3" s="8" t="s">
        <v>69</v>
      </c>
      <c r="D3" s="8" t="s">
        <v>594</v>
      </c>
      <c r="F3" s="6" t="s">
        <v>595</v>
      </c>
    </row>
    <row r="4" customFormat="false" ht="15" hidden="false" customHeight="false" outlineLevel="0" collapsed="false">
      <c r="A4" s="27" t="s">
        <v>108</v>
      </c>
      <c r="B4" s="27" t="s">
        <v>31</v>
      </c>
      <c r="D4" s="27" t="s">
        <v>45</v>
      </c>
      <c r="F4" s="28" t="n">
        <v>45846</v>
      </c>
    </row>
    <row r="5" customFormat="false" ht="15" hidden="false" customHeight="false" outlineLevel="0" collapsed="false">
      <c r="A5" s="27" t="s">
        <v>99</v>
      </c>
      <c r="B5" s="27" t="s">
        <v>31</v>
      </c>
      <c r="D5" s="27" t="s">
        <v>102</v>
      </c>
    </row>
    <row r="6" customFormat="false" ht="15" hidden="false" customHeight="false" outlineLevel="0" collapsed="false">
      <c r="A6" s="27" t="s">
        <v>241</v>
      </c>
      <c r="B6" s="27" t="s">
        <v>32</v>
      </c>
    </row>
    <row r="7" customFormat="false" ht="15" hidden="false" customHeight="false" outlineLevel="0" collapsed="false">
      <c r="A7" s="27" t="s">
        <v>141</v>
      </c>
      <c r="B7" s="27" t="s">
        <v>32</v>
      </c>
    </row>
    <row r="8" customFormat="false" ht="15" hidden="false" customHeight="false" outlineLevel="0" collapsed="false">
      <c r="A8" s="27" t="s">
        <v>85</v>
      </c>
      <c r="B8" s="27" t="s">
        <v>33</v>
      </c>
    </row>
    <row r="9" customFormat="false" ht="15" hidden="false" customHeight="false" outlineLevel="0" collapsed="false">
      <c r="A9" s="27" t="s">
        <v>264</v>
      </c>
      <c r="B9" s="27" t="s">
        <v>33</v>
      </c>
    </row>
    <row r="10" customFormat="false" ht="15" hidden="false" customHeight="false" outlineLevel="0" collapsed="false">
      <c r="A10" s="27" t="s">
        <v>115</v>
      </c>
      <c r="B10" s="27" t="s">
        <v>33</v>
      </c>
    </row>
    <row r="11" customFormat="false" ht="15" hidden="false" customHeight="false" outlineLevel="0" collapsed="false">
      <c r="A11" s="27" t="s">
        <v>221</v>
      </c>
      <c r="B11" s="27" t="s">
        <v>34</v>
      </c>
    </row>
    <row r="12" customFormat="false" ht="15" hidden="false" customHeight="false" outlineLevel="0" collapsed="false">
      <c r="A12" s="27" t="s">
        <v>147</v>
      </c>
      <c r="B12" s="27" t="s">
        <v>34</v>
      </c>
    </row>
    <row r="13" customFormat="false" ht="15" hidden="false" customHeight="false" outlineLevel="0" collapsed="false">
      <c r="A13" s="27" t="s">
        <v>250</v>
      </c>
      <c r="B13" s="27" t="s">
        <v>34</v>
      </c>
    </row>
    <row r="14" customFormat="false" ht="15" hidden="false" customHeight="false" outlineLevel="0" collapsed="false">
      <c r="A14" s="27" t="s">
        <v>178</v>
      </c>
      <c r="B14" s="27" t="s">
        <v>35</v>
      </c>
    </row>
    <row r="15" customFormat="false" ht="15" hidden="false" customHeight="false" outlineLevel="0" collapsed="false">
      <c r="A15" s="27" t="s">
        <v>159</v>
      </c>
      <c r="B15" s="27" t="s">
        <v>35</v>
      </c>
    </row>
    <row r="16" customFormat="false" ht="15" hidden="false" customHeight="false" outlineLevel="0" collapsed="false">
      <c r="A16" s="27" t="s">
        <v>126</v>
      </c>
      <c r="B16" s="27" t="s">
        <v>35</v>
      </c>
    </row>
    <row r="17" customFormat="false" ht="15" hidden="false" customHeight="false" outlineLevel="0" collapsed="false">
      <c r="A17" s="27" t="s">
        <v>208</v>
      </c>
      <c r="B17" s="27" t="s">
        <v>36</v>
      </c>
    </row>
    <row r="18" customFormat="false" ht="15" hidden="false" customHeight="false" outlineLevel="0" collapsed="false">
      <c r="A18" s="27" t="s">
        <v>258</v>
      </c>
      <c r="B18" s="27" t="s">
        <v>36</v>
      </c>
    </row>
    <row r="19" customFormat="false" ht="15" hidden="false" customHeight="false" outlineLevel="0" collapsed="false">
      <c r="A19" s="27" t="s">
        <v>154</v>
      </c>
      <c r="B19" s="27" t="s">
        <v>37</v>
      </c>
    </row>
    <row r="20" customFormat="false" ht="15" hidden="false" customHeight="false" outlineLevel="0" collapsed="false">
      <c r="A20" s="27" t="s">
        <v>366</v>
      </c>
      <c r="B20" s="2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5" t="s">
        <v>596</v>
      </c>
    </row>
    <row r="2" customFormat="false" ht="15" hidden="false" customHeight="false" outlineLevel="0" collapsed="false">
      <c r="A2" s="29" t="s">
        <v>597</v>
      </c>
    </row>
    <row r="4" customFormat="false" ht="15" hidden="false" customHeight="false" outlineLevel="0" collapsed="false">
      <c r="A4" s="6" t="n">
        <v>1</v>
      </c>
      <c r="B4" s="30" t="s">
        <v>598</v>
      </c>
    </row>
    <row r="5" customFormat="false" ht="15" hidden="false" customHeight="false" outlineLevel="0" collapsed="false">
      <c r="A5" s="6" t="n">
        <v>2</v>
      </c>
      <c r="B5" s="30" t="s">
        <v>599</v>
      </c>
    </row>
    <row r="6" customFormat="false" ht="15" hidden="false" customHeight="false" outlineLevel="0" collapsed="false">
      <c r="A6" s="6" t="n">
        <v>3</v>
      </c>
      <c r="B6" s="30" t="s">
        <v>600</v>
      </c>
    </row>
    <row r="7" customFormat="false" ht="15" hidden="false" customHeight="false" outlineLevel="0" collapsed="false">
      <c r="A7" s="6" t="n">
        <v>4</v>
      </c>
      <c r="B7" s="30" t="s">
        <v>601</v>
      </c>
    </row>
    <row r="8" customFormat="false" ht="15" hidden="false" customHeight="false" outlineLevel="0" collapsed="false">
      <c r="A8" s="6" t="n">
        <v>5</v>
      </c>
      <c r="B8" s="30" t="s">
        <v>602</v>
      </c>
    </row>
    <row r="9" customFormat="false" ht="15" hidden="false" customHeight="false" outlineLevel="0" collapsed="false">
      <c r="A9" s="6" t="n">
        <v>6</v>
      </c>
      <c r="B9" s="30" t="s">
        <v>603</v>
      </c>
    </row>
    <row r="10" customFormat="false" ht="23.85" hidden="false" customHeight="false" outlineLevel="0" collapsed="false">
      <c r="A10" s="6" t="n">
        <v>7</v>
      </c>
      <c r="B10" s="30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2026-10-14T10:30:46Z</dcterms:created>
  <dc:creator>Ade Adelaja</dc:creator>
  <dc:description>Cleaned file: real names, figures and records replaced with synthetic data of the same structure.</dc:description>
  <cp:keywords>cleaned synthetic</cp:keywords>
  <dc:language>en-US</dc:language>
  <cp:lastModifiedBy>Ade Adelaja</cp:lastModifiedBy>
  <dcterms:modified xsi:type="dcterms:W3CDTF">2026-10-14T10:30:46Z</dcterms:modified>
  <cp:revision>0</cp:revision>
  <dc:subject>Portfolio evidence, cleaned</dc:subject>
  <dc:title>Salesforce Admin Dashboard, cleaned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